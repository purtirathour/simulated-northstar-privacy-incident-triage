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se_Scenario" sheetId="1" r:id="rId5"/>
    <sheet state="visible" name="Evidence_Review" sheetId="2" r:id="rId6"/>
    <sheet state="visible" name="Review_Protocol" sheetId="3" r:id="rId7"/>
    <sheet state="visible" name="Second_Pass_Review" sheetId="4" r:id="rId8"/>
    <sheet state="visible" name="Escalation_Log" sheetId="5" r:id="rId9"/>
    <sheet state="visible" name="QA_QC" sheetId="6" r:id="rId10"/>
    <sheet state="visible" name="Dashboard" sheetId="7" r:id="rId11"/>
    <sheet state="visible" name="Findings_Summary" sheetId="8" r:id="rId12"/>
  </sheets>
  <definedNames/>
  <calcPr/>
</workbook>
</file>

<file path=xl/sharedStrings.xml><?xml version="1.0" encoding="utf-8"?>
<sst xmlns="http://schemas.openxmlformats.org/spreadsheetml/2006/main" count="1160" uniqueCount="540">
  <si>
    <t>NORTHSTAR SOLUTIONS PVT. LTD.</t>
  </si>
  <si>
    <t>Simulated Data Breach Investigation — Case Scenario</t>
  </si>
  <si>
    <t>Case Reference: NSB-2026-001</t>
  </si>
  <si>
    <t>Incident Date: 10 October 2026</t>
  </si>
  <si>
    <t>Discovery Date: 12 October 2026</t>
  </si>
  <si>
    <t>Jurisdiction: India</t>
  </si>
  <si>
    <t>Applicable Framework: Digital Personal Data Protection Act, 2023, and Digital Personal Data Protection Rules, 2025</t>
  </si>
  <si>
    <t>Nature: Independent Educational Simulation</t>
  </si>
  <si>
    <t>1. Company Background</t>
  </si>
  <si>
    <t>Northstar Solutions Pvt. Ltd. (“Northstar”) is a fictional India-based company providing business and technology support services. The company maintains employee records for payroll administration, employee benefits, recruitment and internal HR operations.</t>
  </si>
  <si>
    <t>For this exercise, Northstar acts as the Data Fiduciary (equivalent to a data controller) because it determines the purposes and means of processing its employees' personal data. External payroll and benefits vendors may act as Data Processors when processing information on Northstar's behalf.</t>
  </si>
  <si>
    <t>2. Incident Description</t>
  </si>
  <si>
    <t>On 10 October 2026, an employee of Northstar's Human Resources Department reportedly forwarded an employee benefits spreadsheet to an external email address while coordinating with a third-party benefits vendor.</t>
  </si>
  <si>
    <t>The spreadsheet was intended for an authorised recipient. However, a subsequent internal review raised concerns that the file may have been forwarded to an incorrect or unauthorised recipient.</t>
  </si>
  <si>
    <t>The file was believed to contain employee identification details and benefits-related information. Whether it also contained medical diagnoses, payroll amounts or other sensitive records remained unverified.</t>
  </si>
  <si>
    <t>The initial concern was therefore classified as a potential unauthorised disclosure of employee personal data, rather than a confirmed data breach.</t>
  </si>
  <si>
    <t>3. Discovery and Internal Escalation</t>
  </si>
  <si>
    <t>On 12 October 2026, at 10:00 AM IST, a fictional IT Security Analyst identified a possible recipient mismatch while reviewing an internal email-transfer alert. The analyst informed Northstar's Compliance and HR teams.</t>
  </si>
  <si>
    <t>For this simulation, 12 October 2026 at 10:00 AM is the assumed organisational awareness timestamp used to calculate a hypothetical breach-notification timeline, subject to confirming that a personal data breach had occurred.</t>
  </si>
  <si>
    <t>Northstar initiated an internal document review to establish:</t>
  </si>
  <si>
    <t>What employee information was potentially involved.</t>
  </si>
  <si>
    <t>Whether files had been transmitted outside the organisation.</t>
  </si>
  <si>
    <t>Whether external recipients were authorised.</t>
  </si>
  <si>
    <t>Whether any attachments were blocked before delivery.</t>
  </si>
  <si>
    <t>Whether available evidence established actual disclosure or access.</t>
  </si>
  <si>
    <t>4. Scope of the Document Review</t>
  </si>
  <si>
    <t>A synthetic review dataset comprising 30 document summaries (NSB-001 to NSB-030) was prepared to simulate materials collected during the investigation.</t>
  </si>
  <si>
    <t>The dataset includes HR emails, fictional payroll and benefits records, IT communications, confidentiality policies, transfer-log descriptions and references to unreviewed attachments.</t>
  </si>
  <si>
    <t>The documents were assessed for Personally Identifiable Information (PII), identifiable health information (labelled PHI for this exercise), financial information, relevance and potential disclosure indicators.</t>
  </si>
  <si>
    <t>Records requiring further investigation were documented in an Escalation Log. A five-document second-pass review was also performed to assess classification consistency and document corrective actions.</t>
  </si>
  <si>
    <t>The dataset includes related indicators and contextual records; it does not establish that every document relates to the same transmission or that every flagged item represents a separate breach.</t>
  </si>
  <si>
    <t>5. Legal and Regulatory Framework</t>
  </si>
  <si>
    <t>The exercise uses India's Digital Personal Data Protection Act, 2023, and the Digital Personal Data Protection Rules, 2025, as its reference framework.</t>
  </si>
  <si>
    <t>Under Rule 7, once operative, a Data Fiduciary becoming aware of a personal data breach must notify affected Data Principals and provide initial intimation to the Data Protection Board without delay. A more detailed Board intimation is required within 72 hours of awareness, unless an extension is permitted.</t>
  </si>
  <si>
    <t>For training purposes, assuming a confirmed breach and an awareness timestamp of 12 October 2026 at 10:00 AM IST, the hypothetical 72-hour deadline would be 15 October 2026 at 10:00 AM IST.</t>
  </si>
  <si>
    <t>Legal timing qualification: Rule 7 was not yet in force on the fictional incident date. Its notified commencement is 13 May 2027. Therefore, the 72-hour deadline is included solely as a forward-looking compliance exercise, not as an actual statutory deadline applicable to this October 2026 scenario.</t>
  </si>
  <si>
    <t>6. Investigation Status and Limitations</t>
  </si>
  <si>
    <t>The review identifies potential disclosure indicators requiring further verification. However, the synthetic summaries alone do not establish the complete contents of transmitted files, recipient authorisation, successful delivery or actual access.</t>
  </si>
  <si>
    <t>The investigation therefore remains a simulated preliminary assessment, with unresolved issues documented for further review.</t>
  </si>
  <si>
    <t>Disclaimer: This project is an independent educational simulation using entirely fictional organisations, individuals and document summaries. It does not represent a real security incident, a professional forensic engagement or a verified legal determination. Before handling any real incident, the investigator would verify the current commencement and requirements of applicable DPDP provisions, CERT-In reporting obligations and other relevant laws.</t>
  </si>
  <si>
    <t>Document_ID</t>
  </si>
  <si>
    <t>Document_Type</t>
  </si>
  <si>
    <t>Document_Summary</t>
  </si>
  <si>
    <t>Relevance</t>
  </si>
  <si>
    <t>Contains_Personal_Data</t>
  </si>
  <si>
    <t>PII</t>
  </si>
  <si>
    <t>PHI</t>
  </si>
  <si>
    <t>Financial_Data</t>
  </si>
  <si>
    <t>Other_Sensitive_Data</t>
  </si>
  <si>
    <t>Exposure_Status</t>
  </si>
  <si>
    <t>Confidence</t>
  </si>
  <si>
    <t>Escalate</t>
  </si>
  <si>
    <t>Reviewer_Rationale</t>
  </si>
  <si>
    <t>QC_Status</t>
  </si>
  <si>
    <t>Sharing_Authorised</t>
  </si>
  <si>
    <t>Duplicate_Of</t>
  </si>
  <si>
    <t>NSB-001</t>
  </si>
  <si>
    <t>Email</t>
  </si>
  <si>
    <t>Internal email containing a fictional employee name and example.com email address.</t>
  </si>
  <si>
    <t>Relevant</t>
  </si>
  <si>
    <t>Yes</t>
  </si>
  <si>
    <t>Present</t>
  </si>
  <si>
    <t>Absent</t>
  </si>
  <si>
    <t>Internal Only</t>
  </si>
  <si>
    <t>High</t>
  </si>
  <si>
    <t>No</t>
  </si>
  <si>
    <t>Contains a fictional employee name and email address; no external disclosure is indicated.</t>
  </si>
  <si>
    <t>Pending</t>
  </si>
  <si>
    <t>Not Applicable</t>
  </si>
  <si>
    <t>NSB-002</t>
  </si>
  <si>
    <t>Email says an employee spreadsheet was sent to an external benefits vendor.</t>
  </si>
  <si>
    <t>Unclear</t>
  </si>
  <si>
    <t>External Transmission Indicated</t>
  </si>
  <si>
    <t>Low</t>
  </si>
  <si>
    <t>Employee spreadsheet reportedly transmitted to a benefits vendor; underlying contents and scope of vendor authorisation are unverified.</t>
  </si>
  <si>
    <t>Unknown</t>
  </si>
  <si>
    <t>NSB-003</t>
  </si>
  <si>
    <t>Spreadsheet</t>
  </si>
  <si>
    <t>Fictional employee names, email addresses and test payroll amounts.</t>
  </si>
  <si>
    <t>Contains fictional employee contact details and payroll amounts, indicating personal and financial data</t>
  </si>
  <si>
    <t>Completed (self-review)</t>
  </si>
  <si>
    <t>NSB-004</t>
  </si>
  <si>
    <t>HR Form</t>
  </si>
  <si>
    <t>Fictional employee name linked to a health-benefit claim and diagnosis example.</t>
  </si>
  <si>
    <t>Links a fictional employee to health-benefit and diagnosis information, indicating potentially sensitive health data.</t>
  </si>
  <si>
    <t>NSB-005</t>
  </si>
  <si>
    <t>PDF</t>
  </si>
  <si>
    <t>General company confidentiality policy with no personal information.</t>
  </si>
  <si>
    <t>Not Relevant</t>
  </si>
  <si>
    <t>General confidentiality policy with no individual-level personal or sensitive information identified.</t>
  </si>
  <si>
    <t>NSB-006</t>
  </si>
  <si>
    <t>An unknown external sender supplied an attachment; its contents and authorisation are unclear.</t>
  </si>
  <si>
    <t>Unknown external sender and an attachment of unclear contents; review is required to establish sensitivity and authorisation.</t>
  </si>
  <si>
    <t>NSB-007</t>
  </si>
  <si>
    <t>Fictional payroll records linked to employee IDs.</t>
  </si>
  <si>
    <t>Contains fictional employee IDs linked to payroll records, indicating personal and financial information.</t>
  </si>
  <si>
    <t>NSB-008</t>
  </si>
  <si>
    <t>Internal meeting schedule containing no apparent personal or sensitive data.</t>
  </si>
  <si>
    <t>Meeting schedule contains no apparent personal or sensitive information based on the summary.</t>
  </si>
  <si>
    <t>NSB-009</t>
  </si>
  <si>
    <t>Document</t>
  </si>
  <si>
    <t>Training material containing a fictional bank-account example.</t>
  </si>
  <si>
    <t>Illustrative fictional bank-account example in training material; no identifiable person or operational financial record established.</t>
  </si>
  <si>
    <t>NSB-010</t>
  </si>
  <si>
    <t>An employee says a benefits file was forwarded to a personal email address.</t>
  </si>
  <si>
    <t>Benefits file reportedly forwarded to a personal email; file contents, recipient permissions and delivery evidence are unverified.</t>
  </si>
  <si>
    <t>NSB-011</t>
  </si>
  <si>
    <t>Fictional employee IDs linked to health-benefit details.</t>
  </si>
  <si>
    <t>Employee IDs linked to health benefits are linkable identifiers in the simulated organisation; no external transmission described.</t>
  </si>
  <si>
    <t>NSB-012</t>
  </si>
  <si>
    <t>IT reports that a file may have been shared with the wrong recipient.</t>
  </si>
  <si>
    <t>Potential External Disclosure</t>
  </si>
  <si>
    <t>IT reports a possible incorrect recipient; the contents, delivery and authorisation have not been verified.</t>
  </si>
  <si>
    <t>NSB-013</t>
  </si>
  <si>
    <t>Duplicate of document NSB-001.</t>
  </si>
  <si>
    <t>Duplicate of NSB-001; retain the duplicate reference for tracking and avoid double-counting unique records.</t>
  </si>
  <si>
    <t>NSB-014</t>
  </si>
  <si>
    <t>General confidentiality obligations with no individual records.</t>
  </si>
  <si>
    <t>General confidentiality obligations are described, with no individual records identified in the summary.</t>
  </si>
  <si>
    <t>NSB-015</t>
  </si>
  <si>
    <t>Fictional payroll records sent to an external vendor; approval is not established.</t>
  </si>
  <si>
    <t>Payroll file reportedly sent to a vendor; file contents, payroll fields and recipient authorisation are not independently verified.</t>
  </si>
  <si>
    <t>NSB-016</t>
  </si>
  <si>
    <t>IT says a potentially sensitive attachment was blocked before delivery.</t>
  </si>
  <si>
    <t>Blocked Before Delivery</t>
  </si>
  <si>
    <t>Potentially sensitive attachment reportedly blocked before delivery; the unknown attachment contents cannot be coded Present or Absent.</t>
  </si>
  <si>
    <t>NSB-017</t>
  </si>
  <si>
    <t>Fictional employee contact details and health-related notes.</t>
  </si>
  <si>
    <t>Contains fictional employee contact details and health-related notes, indicating personal and potentially sensitive information.</t>
  </si>
  <si>
    <t>NSB-018</t>
  </si>
  <si>
    <t>Business email signature containing a fictional phone number.</t>
  </si>
  <si>
    <t>Medium</t>
  </si>
  <si>
    <t>Fictional business-signature phone number is visible, but the summary does not establish linkage to a named or identifiable individual; low risk if linked.</t>
  </si>
  <si>
    <t>NSB-019</t>
  </si>
  <si>
    <t>CSV</t>
  </si>
  <si>
    <t>File containing fictional usernames and access-role descriptions; no passwords.</t>
  </si>
  <si>
    <t>Fictional usernames and access-role descriptions are explicitly described; usernames are linkable identifiers, and access roles warrant security review despite no passwords.</t>
  </si>
  <si>
    <t>NSB-020</t>
  </si>
  <si>
    <t>Compliance asks whether an external recipient was authorised to receive a file.</t>
  </si>
  <si>
    <t>The recipient's authorisation is explicitly questioned; verify the file contents and permission before determining exposure.</t>
  </si>
  <si>
    <t>NSB-021</t>
  </si>
  <si>
    <t>An employee list was sent to an external address; authorisation is unclear.</t>
  </si>
  <si>
    <t>Employee list reportedly transmitted externally, but its contents and recipient authorisation are not verified.</t>
  </si>
  <si>
    <t>NSB-022</t>
  </si>
  <si>
    <t>Public product brochure with no apparent personal information.</t>
  </si>
  <si>
    <t>Public product brochure with no apparent personal or sensitive information identified.</t>
  </si>
  <si>
    <t>NSB-023</t>
  </si>
  <si>
    <t>Fictional employee IDs and health-benefit details; no transmission evidence.</t>
  </si>
  <si>
    <t>Contains employee IDs and health-benefit details; the potential identifiability of the health information requires consideration.</t>
  </si>
  <si>
    <t>NSB-024</t>
  </si>
  <si>
    <t>Transfer logs exist, but they do not establish whether the recipient opened the file.</t>
  </si>
  <si>
    <t>Transfer-log information is relevant to delivery/access verification; file contents and actual recipient access remain unknown.</t>
  </si>
  <si>
    <t>NSB-025</t>
  </si>
  <si>
    <t>IT confirms that a duplicate file was excluded from the unique-document count.</t>
  </si>
  <si>
    <t>IT duplicate-exclusion note is relevant to evidence accounting; no personal data is described in this note.</t>
  </si>
  <si>
    <t>NSB-026</t>
  </si>
  <si>
    <t>Invoice</t>
  </si>
  <si>
    <t>Fictional supplier invoice containing business contact details and a test payment reference.</t>
  </si>
  <si>
    <t>Supplier invoice includes business contact details and a test payment reference; assess whether any information identifies an individual.</t>
  </si>
  <si>
    <t>NSB-027</t>
  </si>
  <si>
    <t>Business email address only; no identifiable individual or sensitive details in the reviewed content.</t>
  </si>
  <si>
    <t>Generic business email address explicitly not linked to an identifiable person; no personal data identified in reviewed summary.</t>
  </si>
  <si>
    <t>NSB-028</t>
  </si>
  <si>
    <t>Fictional name with a diagnosis example, but the employee identifier is missing.</t>
  </si>
  <si>
    <t>Fictional individual name is linked to a diagnosis example; an additional employee ID is not required to establish identifiable health information. No disclosure indicated.</t>
  </si>
  <si>
    <t>NSB-029</t>
  </si>
  <si>
    <t>Fictional employee contact records; one name is spelled differently from another record.</t>
  </si>
  <si>
    <t>Differing name spellings may affect record matching; verify identity before linking this record to another individual.</t>
  </si>
  <si>
    <t>NSB-030</t>
  </si>
  <si>
    <t>A scanned attachment is referenced, but the image contents have not yet been reviewed.</t>
  </si>
  <si>
    <t>Reference to unreviewed scanned attachment is relevant as an evidence gap; content classifications and exposure remain unclear.</t>
  </si>
  <si>
    <t>Document Review &amp; Classification Protocol</t>
  </si>
  <si>
    <t>Project: Independent educational simulation | Revised 25 Oct 2026</t>
  </si>
  <si>
    <t>Scope: 30 synthetic document summaries (NSB-001 to NSB-030)</t>
  </si>
  <si>
    <t>Purpose: Consistent classification of personal data, sensitive information, relevance, potential exposure, authorisation and escalation requirements.</t>
  </si>
  <si>
    <t>Ref</t>
  </si>
  <si>
    <t>Section</t>
  </si>
  <si>
    <t>Value / Topic</t>
  </si>
  <si>
    <t>Rule / Definition</t>
  </si>
  <si>
    <t>Example / Note</t>
  </si>
  <si>
    <t>Change vs v2.0</t>
  </si>
  <si>
    <t xml:space="preserve">0. Scenario and legal framing </t>
  </si>
  <si>
    <t>Scenario and legal framing</t>
  </si>
  <si>
    <t>Incident description</t>
  </si>
  <si>
    <t>On 10 Oct 2026, an HR employee reportedly forwarded an employee benefits file to an external address; possible incorrect recipient was identified later. Transmission details and any breach remain unverified.</t>
  </si>
  <si>
    <t>Fictional case; refer to Case_Scenario.</t>
  </si>
  <si>
    <t>New</t>
  </si>
  <si>
    <t>Dates</t>
  </si>
  <si>
    <t>Incident: 10 Oct 2026. Organisational awareness assumed: 12 Oct 2026 at 10:00 AM IST, identified by a fictional IT Security Analyst. This is a simulation timestamp, not proof of a reportable breach.</t>
  </si>
  <si>
    <t>Incident: 10 Oct 2026; discovery: 12 Oct 2026.</t>
  </si>
  <si>
    <t>Northstar's role</t>
  </si>
  <si>
    <t>Northstar is the fictional Data Fiduciary for employee data. Benefits/payroll vendors may act as processors; actual vendor contracts, scope and authorisation are not included.</t>
  </si>
  <si>
    <t>Role: Data Fiduciary; vendor agreement: Unknown.</t>
  </si>
  <si>
    <t>Reference framework</t>
  </si>
  <si>
    <t>The DPDP Act, 2023 and its Rules are the reference framework for the exercise. Current commencement, reporting obligations and requirements must be verified before assessing any real incident.</t>
  </si>
  <si>
    <t>Exercise only. Not legal advice.</t>
  </si>
  <si>
    <t>Retained</t>
  </si>
  <si>
    <t>Review set</t>
  </si>
  <si>
    <t>30 synthetic document summaries (NSB-001 to NSB-030). Reviewers code from the summary only, not from source documents.</t>
  </si>
  <si>
    <t>Reviewer_Rationale should say 'based on summary only' where relevant.</t>
  </si>
  <si>
    <t>Revised</t>
  </si>
  <si>
    <t>1. Relevance</t>
  </si>
  <si>
    <t>A document is relevant if it helps establish any of the following: | - what employee or other personal information was held or potentially involved | - whether information was transmitted, disclosed, accessed or blocked | - whether a recipient was authorised to receive information | - how the potential incident was detected, investigated or handled | - whether records are duplicates or contain evidence affecting the investigation</t>
  </si>
  <si>
    <t>NSB-004 (health-benefit form); NSB-024 (transfer logs).</t>
  </si>
  <si>
    <t>The document has no meaningful connection to the incident or the information under review.</t>
  </si>
  <si>
    <t>NSB-005 (general policy); NSB-022 (public brochure).</t>
  </si>
  <si>
    <t>The summary does not provide enough information to determine relevance. Use sparingly.</t>
  </si>
  <si>
    <t>NSB-030 (scan not yet reviewed).</t>
  </si>
  <si>
    <t>Personal data not required</t>
  </si>
  <si>
    <t>A document does not need to contain personal data to be relevant. An IT transfer log or investigation email may be relevant with no personal information.</t>
  </si>
  <si>
    <t>NSB-020; NSB-025.</t>
  </si>
  <si>
    <t>Event documents</t>
  </si>
  <si>
    <t>A document that reports a disclosure, blocked transmission, transfer log or incident-handling step is Relevant even when the data inside the referenced file is unknown.</t>
  </si>
  <si>
    <t>NSB-016; NSB-024.</t>
  </si>
  <si>
    <t>Duplicate-handling notes</t>
  </si>
  <si>
    <t>Notes about duplicate files are Relevant because duplicates affect the unique count. Code their data categories Absent unless they show data.</t>
  </si>
  <si>
    <t>NSB-025.</t>
  </si>
  <si>
    <t>2. Contains_Personal_Data</t>
  </si>
  <si>
    <t>Information relating to an identified or identifiable individual is established in the reviewed content.</t>
  </si>
  <si>
    <t>The reviewed content clearly contains no identifiable personal information.</t>
  </si>
  <si>
    <t>NSB-022.</t>
  </si>
  <si>
    <t>The content is unavailable or insufficient to decide whether personal information is present.</t>
  </si>
  <si>
    <t>NSB-012; NSB-016; NSB-020.</t>
  </si>
  <si>
    <t>Business contact details</t>
  </si>
  <si>
    <t>A business email address or phone number linked to an identifiable person is personal data, including a named business contact. If the summary shows a generic number without identity linkage, use Unclear. Risk is separate.</t>
  </si>
  <si>
    <t>NSB-018: identity linkage not established; Unclear.</t>
  </si>
  <si>
    <t>Employee ID</t>
  </si>
  <si>
    <t>An employee ID is personal data if the organisation can reasonably link it to a particular employee.</t>
  </si>
  <si>
    <t>NSB-007; NSB-011.</t>
  </si>
  <si>
    <t>Usernames</t>
  </si>
  <si>
    <t>Usernames generally qualify as personal data when they identify, or can be linked to, an individual. If they are generic or service accounts, record this in the rationale.</t>
  </si>
  <si>
    <t>NSB-019.</t>
  </si>
  <si>
    <t>Risk is separate</t>
  </si>
  <si>
    <t>Personal-data classification is separate from risk assessment. A document may contain personal data yet present low exposure risk.</t>
  </si>
  <si>
    <t>Referenced attachments</t>
  </si>
  <si>
    <t>Do not classify a document as containing personal data merely because it refers to an attachment that might contain it. Mark it Unclear, not Yes and not No.</t>
  </si>
  <si>
    <t>NSB-002; NSB-010; NSB-021.</t>
  </si>
  <si>
    <t>3. PII / Direct Identifiers</t>
  </si>
  <si>
    <t>PII / Direct Identifiers</t>
  </si>
  <si>
    <t>Label</t>
  </si>
  <si>
    <t>For this exercise PII is a practical label for direct identifying information, not a separate legal category under the DPDP Act.</t>
  </si>
  <si>
    <t>The reviewed content contains an individual's name, identifying email address, personal or named business phone number, or employee ID linked to an individual.</t>
  </si>
  <si>
    <t>NSB-001; NSB-003; NSB-007.</t>
  </si>
  <si>
    <t>The reviewed content clearly contains no direct identifiers.</t>
  </si>
  <si>
    <t>NSB-005; NSB-009.</t>
  </si>
  <si>
    <t>The available summary does not establish whether direct identifiers are present.</t>
  </si>
  <si>
    <t>NSB-002; NSB-015.</t>
  </si>
  <si>
    <t>IDs and usernames</t>
  </si>
  <si>
    <t>An employee ID or username must not be marked Absent merely because the individual's name is not visible, if the identifier can be linked to that person.</t>
  </si>
  <si>
    <t>Names</t>
  </si>
  <si>
    <t>A full name of an identifiable individual is Present. A bare first name or an ambiguous name with no context is Unclear.</t>
  </si>
  <si>
    <t>4. PHI / Identifiable Health Information</t>
  </si>
  <si>
    <t>PHI / Identifiable Health Information</t>
  </si>
  <si>
    <t>PHI is a simplified project label for identifiable health information. It is not a determination that US HIPAA applies.</t>
  </si>
  <si>
    <t>Health or medical information is linked to an identified or identifiable individual, such as an employee name associated with a diagnosis.</t>
  </si>
  <si>
    <t>NSB-004; NSB-017.</t>
  </si>
  <si>
    <t>The reviewed content clearly contains no identifiable health information.</t>
  </si>
  <si>
    <t>NSB-003; NSB-009.</t>
  </si>
  <si>
    <t>Health-related information is mentioned, but identity linkage or the actual contents cannot be established.</t>
  </si>
  <si>
    <t>NSB-028.</t>
  </si>
  <si>
    <t>Same rule everywhere</t>
  </si>
  <si>
    <t>Name plus diagnosis or health notes = Present. Employee ID plus health details = Present where HR can link the ID to a person. Apply identically across documents.</t>
  </si>
  <si>
    <t>NSB-011 and NSB-023 must match.</t>
  </si>
  <si>
    <t>Missing identifier</t>
  </si>
  <si>
    <t>If the name or ID is missing or ambiguous so that the link to a specific person cannot be confirmed, code Unclear and escalate.</t>
  </si>
  <si>
    <t>NSB-028 (diagnosis, no employee ID).</t>
  </si>
  <si>
    <t>Benefits' wording</t>
  </si>
  <si>
    <t>The word 'benefits' alone is not a health indicator. 'Health-benefit' is. An unseen benefits file may contain health data, so its PHI is Unclear (see section 11).</t>
  </si>
  <si>
    <t>NSB-010.</t>
  </si>
  <si>
    <t>5. Financial_Data</t>
  </si>
  <si>
    <t>The reviewed content contains payroll amounts, bank details, payment information or other financial records relevant to the simulated review.</t>
  </si>
  <si>
    <t>NSB-003; NSB-007; NSB-015.</t>
  </si>
  <si>
    <t>No financial information is identified in the reviewed content.</t>
  </si>
  <si>
    <t>NSB-004.</t>
  </si>
  <si>
    <t>A financial file or attachment is referenced, but its actual contents have not been established.</t>
  </si>
  <si>
    <t>NSB-009.</t>
  </si>
  <si>
    <t>Illustrative examples</t>
  </si>
  <si>
    <t>Purely illustrative financial examples in training material must be distinguished from operational financial records. The reviewer must explain the distinction in the rationale.</t>
  </si>
  <si>
    <t>Claims and payment references</t>
  </si>
  <si>
    <t>A health-benefit claim is not financial data unless amounts, bank or payment details are stated. A payment reference on an invoice counts as Present for this exercise.</t>
  </si>
  <si>
    <t>NSB-004; NSB-026.</t>
  </si>
  <si>
    <t>6. Other_Sensitive_Data</t>
  </si>
  <si>
    <t>The reviewed content states confidential business information, security information or access details that warrant protection.</t>
  </si>
  <si>
    <t>NSB-019 (usernames with access roles).</t>
  </si>
  <si>
    <t>The reviewed content clearly contains none of these.</t>
  </si>
  <si>
    <t>NSB-003.</t>
  </si>
  <si>
    <t>A file or attachment is described as 'potentially sensitive' or is unseen, so its contents cannot be established. Do not mark Present on the strength of a description alone.</t>
  </si>
  <si>
    <t>NSB-016.</t>
  </si>
  <si>
    <t>7. Exposure_Status  (did Northstar information leave Northstar?)</t>
  </si>
  <si>
    <t>The document is an internal record and nothing in the summary indicates it left Northstar. | (v2.0 required evidence that 'establishes' internal handling, which cannot be met from summaries.)</t>
  </si>
  <si>
    <t>NSB-001; NSB-007.</t>
  </si>
  <si>
    <t>Evidence suggests information may have reached an unintended recipient, but transmission is not established.</t>
  </si>
  <si>
    <t>NSB-012; NSB-020.</t>
  </si>
  <si>
    <t>The summary indicates external sending or forwarding, without necessarily establishing unauthorised disclosure.</t>
  </si>
  <si>
    <t>NSB-002; NSB-010; NSB-015; NSB-021.</t>
  </si>
  <si>
    <t>Evidence indicates the transmission was prevented before delivery.</t>
  </si>
  <si>
    <t>Available information is insufficient to determine exposure.</t>
  </si>
  <si>
    <t>NSB-024; NSB-030.</t>
  </si>
  <si>
    <t>The document is public, inbound, or routine business content, and no disclosure of Northstar information is described.</t>
  </si>
  <si>
    <t>NSB-006 (inbound); NSB-018; NSB-022; NSB-026; NSB-027.</t>
  </si>
  <si>
    <t>Transmission is not a breach</t>
  </si>
  <si>
    <t>External transmission alone does not prove a personal data breach. Recipient authorisation, contents and delivery evidence must be considered separately.</t>
  </si>
  <si>
    <t>Unknown destination</t>
  </si>
  <si>
    <t>If a file is said to be sent but the destination is not stated, use Unclear.</t>
  </si>
  <si>
    <t>9. Escalation Rules</t>
  </si>
  <si>
    <t>Escalation Rules</t>
  </si>
  <si>
    <t>Escalate = Yes</t>
  </si>
  <si>
    <t>Mark Yes when the document identifies an issue requiring further investigation, including: | - possible unauthorised external disclosure | - unknown or potentially incorrect recipients | - unverified sender or recipient authorisation | - unreviewed attachments that may be material to the incident | - potentially security-sensitive information requiring assessment | - material uncertainty affecting breach determination or data-subject identification</t>
  </si>
  <si>
    <t>Escalate = No</t>
  </si>
  <si>
    <t>Mark No when no specific unresolved issue requiring further investigation is identified.</t>
  </si>
  <si>
    <t>Data alone is not a trigger</t>
  </si>
  <si>
    <t>The mere presence of personal, health or financial information does not automatically require escalation.</t>
  </si>
  <si>
    <t>NSB-004 (internal health data): No.</t>
  </si>
  <si>
    <t>Escalation_Log</t>
  </si>
  <si>
    <t>Each Escalate=Yes must have exactly one corresponding Escalation_Log entry. Required fields in this exercise: Escalation_ID, Document_ID, Reason_for_Escalation, Required_Action and Status. Open indicates a hypothetical next step, not an actual pending case.</t>
  </si>
  <si>
    <t>The log uses Open for unperformed simulated follow-up.</t>
  </si>
  <si>
    <t>Severity</t>
  </si>
  <si>
    <t>Optional analytical severity: assess potential impact separately from confirmed disclosure. This simulation does not assign a formal risk score because underlying files and access evidence are unavailable.</t>
  </si>
  <si>
    <t>No formal severity assessment claimed.</t>
  </si>
  <si>
    <t>Routing</t>
  </si>
  <si>
    <t>If follow-up were real: route technical delivery/attachment questions to IT Security and authorisation/notification questions to Privacy or Legal. These are proposed actions only.</t>
  </si>
  <si>
    <t>Do not imply actual routing occurred.</t>
  </si>
  <si>
    <t>Record-matching differences</t>
  </si>
  <si>
    <t>Record-matching spelling differences are documented in Reviewer_Rationale; do not count them as confirmed new individuals or breaches.</t>
  </si>
  <si>
    <t>NSB-029.</t>
  </si>
  <si>
    <t>10. Confidence Classification</t>
  </si>
  <si>
    <t>Confidence Classification</t>
  </si>
  <si>
    <t>Meaning</t>
  </si>
  <si>
    <t>Confidence is how certain the reviewer is that the classification is supported by the available evidence. It does not measure sensitivity or risk.</t>
  </si>
  <si>
    <t>The summary clearly supports the classification, whether Present or Absent.</t>
  </si>
  <si>
    <t>Public brochure clearly contains no personal information (NSB-022).</t>
  </si>
  <si>
    <t>Most of the classification is supported, but limited interpretation is required.</t>
  </si>
  <si>
    <t>Business contact information with uncertain identity linkage (NSB-018).</t>
  </si>
  <si>
    <t>The information is incomplete, contradictory or unavailable, preventing a reliable classification.</t>
  </si>
  <si>
    <t>Unreviewed scanned attachment (NSB-030).</t>
  </si>
  <si>
    <t>Clear negatives</t>
  </si>
  <si>
    <t>A clear negative finding deserves High confidence.</t>
  </si>
  <si>
    <t>NSB-005, 008, 014, 022.</t>
  </si>
  <si>
    <t>Risk is not confidence</t>
  </si>
  <si>
    <t>An uncertain or potentially high-risk document does not automatically receive Low. Confidence concerns reliability of the coding, not seriousness.</t>
  </si>
  <si>
    <t>No High with unseen contents</t>
  </si>
  <si>
    <t>Never use High where any category is Unclear because the contents were not seen. Use Medium (partial information) or Low (contents unknown).</t>
  </si>
  <si>
    <t>11. Unknown or Unreviewed Information</t>
  </si>
  <si>
    <t>Unknown or Unreviewed Information</t>
  </si>
  <si>
    <t>No assumptions</t>
  </si>
  <si>
    <t>Never assume the contents of an unseen document or attachment.</t>
  </si>
  <si>
    <t>Unseen file</t>
  </si>
  <si>
    <t>If the file has not been examined, mark its unknown data categories Unclear.</t>
  </si>
  <si>
    <t>Not Present by suggestion</t>
  </si>
  <si>
    <t>Do not mark a category Present solely because a filename or description suggests it might contain that information.</t>
  </si>
  <si>
    <t>Not Absent by silence</t>
  </si>
  <si>
    <t>Do not mark Absent or No merely because the summary does not mention the information.</t>
  </si>
  <si>
    <t>Facts vs assumptions</t>
  </si>
  <si>
    <t>Distinguish facts stated in the summary from assumptions requiring verification.</t>
  </si>
  <si>
    <t>Explain uncertainty</t>
  </si>
  <si>
    <t>Explain unresolved uncertainty in Reviewer_Rationale.</t>
  </si>
  <si>
    <t>Visible vs unseen</t>
  </si>
  <si>
    <t>If the email itself contains identifiable information, classify that visible information separately from any unreviewed attachment.</t>
  </si>
  <si>
    <t>Email about a file</t>
  </si>
  <si>
    <t>If a summary only reports sending an unreviewed file, use Unclear for that file’s unknown personal/health/financial categories. Do not infer Absent from silence or Present from filename. Code any visible email contents separately.</t>
  </si>
  <si>
    <t>NSB-002, NSB-010, NSB-015, NSB-021.</t>
  </si>
  <si>
    <t xml:space="preserve">13. Consistency Checks  </t>
  </si>
  <si>
    <t>Consistency Checks</t>
  </si>
  <si>
    <t>PII vs personal data</t>
  </si>
  <si>
    <t>PII Present requires Contains_Personal_Data = Yes. Contains_Personal_Data = No requires PII, PHI Absent. Contains_Personal_Data = Unclear requires PII Unclear.</t>
  </si>
  <si>
    <t>PHI needs identity</t>
  </si>
  <si>
    <t>PHI Present requires PII Present.</t>
  </si>
  <si>
    <t>Not Relevant requires all data categories Absent and Escalate = No.</t>
  </si>
  <si>
    <t>Exposure vs authorisation</t>
  </si>
  <si>
    <t>Sharing_Authorised = Unknown or No with personal data not ruled out requires Escalate = Yes, or a rationale explaining why not.</t>
  </si>
  <si>
    <t>Not Applicable pairing</t>
  </si>
  <si>
    <t>Exposure Not Applicable, Internal Only or Blocked requires Sharing_Authorised = Not Applicable.</t>
  </si>
  <si>
    <t>No High confidence where a category is Unclear because the contents were not seen.</t>
  </si>
  <si>
    <t>Escalation log</t>
  </si>
  <si>
    <t>Every Escalate = Yes has a log entry. Every log entry has Escalate = Yes.</t>
  </si>
  <si>
    <t>Duplicates</t>
  </si>
  <si>
    <t>Duplicate_Of identifies known duplicate records. The duplicate retains the original summary-based coding; duplicate counts are reported separately from total records.</t>
  </si>
  <si>
    <t>NSB-013 duplicates NSB-001.</t>
  </si>
  <si>
    <t>Spelling and values</t>
  </si>
  <si>
    <t>Use the allowed categories defined in this Review_Protocol; no separate Data_Dictionary tab is required.</t>
  </si>
  <si>
    <t>Category definitions are in this sheet.</t>
  </si>
  <si>
    <t>14. Reviewer Rationale and Quality Control</t>
  </si>
  <si>
    <t>Reviewer Rationale and Quality Control</t>
  </si>
  <si>
    <t>Rationale</t>
  </si>
  <si>
    <t>Every document needs a concise rationale giving the evidence for its classification and any unresolved uncertainty.</t>
  </si>
  <si>
    <t>Second-pass sample</t>
  </si>
  <si>
    <t>Five documents (NSB-003, NSB-004, NSB-006, NSB-010, NSB-030) received a retrospective self-review of PII, PHI, Financial_Data and Escalate. This is a small purposive sample, not an independent or random QA sample.</t>
  </si>
  <si>
    <t>5/30 reviewed; limited scope.</t>
  </si>
  <si>
    <t>Independence</t>
  </si>
  <si>
    <t>Second pass was performed by the same project author. The agreement metric measures internal coding consistency, not reviewer independence, correctness or accuracy.</t>
  </si>
  <si>
    <t>Educational self-review; original decisions preserved.</t>
  </si>
  <si>
    <t>Fields compared</t>
  </si>
  <si>
    <t>Four fields were compared: PII, PHI, Financial_Data and Escalate. Other classification fields were not independently second-pass checked.</t>
  </si>
  <si>
    <t>See Second_Pass_Review and QA_QC.</t>
  </si>
  <si>
    <t>Documenting differences</t>
  </si>
  <si>
    <t>Record differences in QA_QC: original decision, revised decision, explanation and final action. The final action must state the decision taken, not a to-do.</t>
  </si>
  <si>
    <t>Corrected' means corrected</t>
  </si>
  <si>
    <t>Correction_Status = Corrected only after Evidence_Review has been updated to match. If the original is kept, use 'Retained with Rationale' and explain.</t>
  </si>
  <si>
    <t>Audit trail</t>
  </si>
  <si>
    <t>Initial decisions remain preserved in QA_QC even when the final Evidence_Review classifications are corrected.</t>
  </si>
  <si>
    <t>QC_Status = Completed (self-review) only for the five second-pass sampled documents; Pending for other records. This is a self-review, not third-party QC. Review dates are recorded in Second_Pass_Review.</t>
  </si>
  <si>
    <t>No reviewer identity claim.</t>
  </si>
  <si>
    <t>Agreement reporting</t>
  </si>
  <si>
    <t>Dashboard reports initial full-document agreement for four compared fields: 3 of 5 (60%). This is not an accuracy or independent inter-reviewer agreement score.</t>
  </si>
  <si>
    <t>Five purposively selected records.</t>
  </si>
  <si>
    <t>15. Further Outputs</t>
  </si>
  <si>
    <t>Further Outputs</t>
  </si>
  <si>
    <t>Affected_Individuals</t>
  </si>
  <si>
    <t>An Affected_Individuals register is not created: the summaries cannot reliably establish unique individuals or verified exposures.</t>
  </si>
  <si>
    <t>Do not invent affected-person counts.</t>
  </si>
  <si>
    <t>Risk_Assessment</t>
  </si>
  <si>
    <t>No numerical risk assessment is claimed. Document potential concerns and proposed follow-up in Escalation_Log without asserting confirmed harm or disclosure.</t>
  </si>
  <si>
    <t>Unverified incident.</t>
  </si>
  <si>
    <t>Final determination</t>
  </si>
  <si>
    <t>Preliminary simulated assessment: potential unauthorised disclosure indicators requiring investigation; no confirmed personal data breach established from summaries alone.</t>
  </si>
  <si>
    <t>No actual legal determination.</t>
  </si>
  <si>
    <t>Summary memo</t>
  </si>
  <si>
    <t>Findings_Summary provides a short overview of method, observed flags, suggested verification and limitations.</t>
  </si>
  <si>
    <t>Fictional educational portfolio.</t>
  </si>
  <si>
    <t>Dashboard</t>
  </si>
  <si>
    <t>Dashboard distinguishes 30 reviewed records from known unique records, escalations and limited self-review agreement. It does not claim affected individuals, incident severity or completed remediation.</t>
  </si>
  <si>
    <t>Counts update from Evidence_Review and QA_QC.</t>
  </si>
  <si>
    <t>16. Project Limitations</t>
  </si>
  <si>
    <t>Project Limitations</t>
  </si>
  <si>
    <t>Scope</t>
  </si>
  <si>
    <t>This protocol applies exclusively to an independent educational simulation using synthetic document summaries. The review does not establish actual file contents, recipient access, unauthorised disclosure or a confirmed personal data breach.</t>
  </si>
  <si>
    <t>Legal reference</t>
  </si>
  <si>
    <t>The DPDP Act, 2023 and its Rules provide the reference framework. Current legal commencement, reporting obligations and requirements must be verified before assessing any real incident.</t>
  </si>
  <si>
    <t>PII_Second_Review</t>
  </si>
  <si>
    <t>PHI_Second_Review</t>
  </si>
  <si>
    <t>Financial_Second_Review</t>
  </si>
  <si>
    <t>Escalate_Second_Review</t>
  </si>
  <si>
    <t>Second_Review_Rationale</t>
  </si>
  <si>
    <t>Review_Date</t>
  </si>
  <si>
    <t>Employee names and payroll amounts indicate personal and financial data; no disclosure is described.</t>
  </si>
  <si>
    <t>Identifiable employee health information is present; no suspicious transmission is indicated.</t>
  </si>
  <si>
    <t>Attachment contents and sender authorisation are unknown, requiring further investigation.</t>
  </si>
  <si>
    <t>Benefits file reportedly forwarded to a personal address; contents and authorisation require verification.</t>
  </si>
  <si>
    <t>Scanned attachment remains unexamined, preventing reliable data classification.</t>
  </si>
  <si>
    <t>Escalation_ID</t>
  </si>
  <si>
    <t>Reason_for_Escalation</t>
  </si>
  <si>
    <t>Required_Action</t>
  </si>
  <si>
    <t>Status</t>
  </si>
  <si>
    <t>Esc-001</t>
  </si>
  <si>
    <t>Employee spreadsheet reportedly sent to an external benefits vendor; recipient authorisation is unclear.</t>
  </si>
  <si>
    <t>Verify vendor authorisation and identify the information transmitted.</t>
  </si>
  <si>
    <t>Open</t>
  </si>
  <si>
    <t>Esc-002</t>
  </si>
  <si>
    <t>Unknown external sender provided an attachment with unverified contents.</t>
  </si>
  <si>
    <t>Examine the attachment and verify the sender and purpose of transmission.</t>
  </si>
  <si>
    <t>Esc-003</t>
  </si>
  <si>
    <t>Benefits file reportedly forwarded to a personal email address; authorisation is unclear.</t>
  </si>
  <si>
    <t>Verify the file contents, recipient and forwarding authorisation.</t>
  </si>
  <si>
    <t>Esc-004</t>
  </si>
  <si>
    <t>IT reported a possible transmission to the wrong recipient.</t>
  </si>
  <si>
    <t>Examine delivery records and establish whether disclosure occurred.</t>
  </si>
  <si>
    <t>Esc-005</t>
  </si>
  <si>
    <t>Payroll records reportedly transmitted to an external vendor without established approval.</t>
  </si>
  <si>
    <t>Verify vendor approval, data contents and transmission records.</t>
  </si>
  <si>
    <t>Esc-006</t>
  </si>
  <si>
    <t>Potentially sensitive attachment was blocked before delivery; contents remain unverified.</t>
  </si>
  <si>
    <t>Confirm the blocking outcome and assess the attachment's sensitivity.</t>
  </si>
  <si>
    <t>Esc-007</t>
  </si>
  <si>
    <t>Usernames and access-role descriptions may contain security-sensitive information.</t>
  </si>
  <si>
    <t>Assess whether the information creates a security risk or was improperly shared.</t>
  </si>
  <si>
    <t>Esc-008</t>
  </si>
  <si>
    <t>Authorisation of an external recipient has been questioned.</t>
  </si>
  <si>
    <t>Verify recipient permissions and identify the information involved.</t>
  </si>
  <si>
    <t>Esc-009</t>
  </si>
  <si>
    <t>Employee list reportedly sent to an external address; authorisation is unclear.</t>
  </si>
  <si>
    <t>Verify recipient authorisation and the scope of information shared.</t>
  </si>
  <si>
    <t>Esc-010</t>
  </si>
  <si>
    <t>Transfer logs do not establish whether the recipient accessed the file.</t>
  </si>
  <si>
    <t>Examine available delivery and access records to determine exposure.</t>
  </si>
  <si>
    <t>Esc-011</t>
  </si>
  <si>
    <t>Scanned attachment referenced but not examined; content and sensitivity remain unknown.</t>
  </si>
  <si>
    <t>Review scanned attachment before final classification and confirm any incident connection.</t>
  </si>
  <si>
    <t>Original_Decision</t>
  </si>
  <si>
    <t>Second_Pass_Decision</t>
  </si>
  <si>
    <t>Match</t>
  </si>
  <si>
    <t>Notes</t>
  </si>
  <si>
    <t>Final_Action</t>
  </si>
  <si>
    <t>Correction_Status</t>
  </si>
  <si>
    <t>PII: Present; PHI: Absent; Financial: Present; Escalate: No</t>
  </si>
  <si>
    <t>All four classifications agree.</t>
  </si>
  <si>
    <t>No correction required</t>
  </si>
  <si>
    <t>No Change Required</t>
  </si>
  <si>
    <t>PII: Present; PHI: Unclear; Financial: Unclear; Escalate: No</t>
  </si>
  <si>
    <t>PII: Present; PHI: Present; Financial: Absent; Escalate: No</t>
  </si>
  <si>
    <t>Initial PHI and Financial codes differed; second pass supported PHI Present and Financial Absent.</t>
  </si>
  <si>
    <t>Updated Evidence_Review NSB-004 to PHI Present and Financial Absent; original decisions retained here.</t>
  </si>
  <si>
    <t>Corrected</t>
  </si>
  <si>
    <t>PII: Unclear; PHI: Unclear; Financial: Unclear; Escalate: Yes</t>
  </si>
  <si>
    <t>PII: Present; PHI: Unclear; Financial: Unclear; Escalate: Yes</t>
  </si>
  <si>
    <t>Original PII Present was unsupported by the summary of an unreviewed benefits attachment.</t>
  </si>
  <si>
    <t>Evidence_Review NSB-010 now records PII Unclear, matching second-pass coding; original decision retained here.</t>
  </si>
  <si>
    <t>Metric</t>
  </si>
  <si>
    <t>Value</t>
  </si>
  <si>
    <t>Total Records Reviewed</t>
  </si>
  <si>
    <t>Relevant Records</t>
  </si>
  <si>
    <t>PII Present</t>
  </si>
  <si>
    <t>PHI Present</t>
  </si>
  <si>
    <t>Financial Data Present</t>
  </si>
  <si>
    <t>Records Escalated</t>
  </si>
  <si>
    <t>Documents Second-Pass Reviewed</t>
  </si>
  <si>
    <t>Initial Full Agreement (4 fields)</t>
  </si>
  <si>
    <t>Initial Self-Review Agreement Rate</t>
  </si>
  <si>
    <t>Documented Corrections</t>
  </si>
  <si>
    <t>Known Unique Records</t>
  </si>
  <si>
    <t>Sharing Authorisation Unknown</t>
  </si>
  <si>
    <t>Open Hypothetical Escalations</t>
  </si>
  <si>
    <t>Known Duplicate Records</t>
  </si>
  <si>
    <t>NORTHSTAR | SIMULATED DOCUMENT REVIEW</t>
  </si>
  <si>
    <t>Project type</t>
  </si>
  <si>
    <t>Self-directed educational simulation; fictional company, individuals and document summaries.</t>
  </si>
  <si>
    <t>Scenario</t>
  </si>
  <si>
    <t>Potentially misdirected employee-benefits file reported on 10 Oct 2026; assumed discovery 12 Oct 2026.</t>
  </si>
  <si>
    <t>30 synthetic summaries, including one known duplicate (NSB-013 of NSB-001).</t>
  </si>
  <si>
    <t>Method</t>
  </si>
  <si>
    <t>Summary-only relevance, data-category, exposure, authorisation and escalation coding under Review_Protocol.</t>
  </si>
  <si>
    <t>Core limitation</t>
  </si>
  <si>
    <t>No underlying emails, attachments, vendor agreements, delivery logs or recipient-access evidence were examined.</t>
  </si>
  <si>
    <t>Key distinction</t>
  </si>
  <si>
    <t>External transmission does not establish unauthorised sharing; authorisation is Unknown where unverified.</t>
  </si>
  <si>
    <t>Escalation basis</t>
  </si>
  <si>
    <t>Hypothetical verification steps for uncertain transmission, attachment contents, recipient permissions and security context.</t>
  </si>
  <si>
    <t>QA approach</t>
  </si>
  <si>
    <t>Five records self-reviewed for four fields; original decisions preserved in QA_QC.</t>
  </si>
  <si>
    <t>QA interpretation</t>
  </si>
  <si>
    <t>Initial agreement 3/5 (60%); two discrepancies reconciled. This is consistency, not accuracy or independent QA.</t>
  </si>
  <si>
    <t>Preliminary finding</t>
  </si>
  <si>
    <t>Possible personal-data disclosure indicators; no confirmed breach or affected-person count established.</t>
  </si>
  <si>
    <t>Recommended next checks</t>
  </si>
  <si>
    <t>In a real case: obtain original files, delivery/access logs, approved-recipient lists and vendor processing terms.</t>
  </si>
  <si>
    <t>Legal framework</t>
  </si>
  <si>
    <t>DPDP Act 2023 and DPDP Rules 2025 for educational reference only; verify provisions in force at incident date.</t>
  </si>
  <si>
    <t>Notification caveat</t>
  </si>
  <si>
    <t>Do not treat a simulated awareness timestamp as a proven legal notification trigger; applicable commencement must be checked.</t>
  </si>
  <si>
    <t>Portfolio disclosure</t>
  </si>
  <si>
    <t>No real client, investigation, breach determination, remediation or legal advice is represented.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</si>
</sst>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quot;/&quot;m&quot;/&quot;yyyy"/>
  </numFmts>
  <fonts count="16">
    <font>
      <sz val="10.0"/>
      <color rgb="FF000000"/>
      <name val="Arial"/>
      <scheme val="minor"/>
    </font>
    <font>
      <sz val="11.0"/>
      <color theme="1"/>
      <name val="Arial"/>
    </font>
    <font>
      <b/>
      <sz val="12.0"/>
      <color rgb="FFFFFFFF"/>
      <name val="Calibri"/>
    </font>
    <font>
      <b/>
      <sz val="10.0"/>
      <color rgb="FFFFFFFF"/>
      <name val="Arial"/>
    </font>
    <font>
      <sz val="12.0"/>
      <color rgb="FF000000"/>
      <name val="Calibri"/>
    </font>
    <font>
      <color theme="1"/>
      <name val="Arial"/>
      <scheme val="minor"/>
    </font>
    <font>
      <color theme="1"/>
      <name val="Arial"/>
    </font>
    <font>
      <sz val="13.0"/>
      <color theme="1"/>
      <name val="Arial"/>
    </font>
    <font>
      <sz val="12.0"/>
      <color theme="1"/>
      <name val="Arial"/>
    </font>
    <font>
      <sz val="10.0"/>
      <color theme="1"/>
      <name val="Arial"/>
    </font>
    <font>
      <sz val="12.0"/>
      <color rgb="FFFFFFFF"/>
      <name val="Calibri"/>
    </font>
    <font>
      <color rgb="FFFFFFFF"/>
      <name val="Arial"/>
    </font>
    <font>
      <sz val="12.0"/>
      <color theme="1"/>
      <name val="Calibri"/>
    </font>
    <font>
      <b/>
      <color rgb="FFFFFFFF"/>
      <name val="Arial"/>
    </font>
    <font>
      <b/>
      <color theme="1"/>
      <name val="Arial"/>
      <scheme val="minor"/>
    </font>
    <font>
      <sz val="10.0"/>
      <color rgb="FF000000"/>
      <name val="Arial"/>
    </font>
  </fonts>
  <fills count="8">
    <fill>
      <patternFill patternType="none"/>
    </fill>
    <fill>
      <patternFill patternType="lightGray"/>
    </fill>
    <fill>
      <patternFill patternType="solid">
        <fgColor rgb="FF15324B"/>
        <bgColor rgb="FF15324B"/>
      </patternFill>
    </fill>
    <fill>
      <patternFill patternType="solid">
        <fgColor rgb="FFD9E1F2"/>
        <bgColor rgb="FFD9E1F2"/>
      </patternFill>
    </fill>
    <fill>
      <patternFill patternType="solid">
        <fgColor rgb="FFCCCCCC"/>
        <bgColor rgb="FFCCCCCC"/>
      </patternFill>
    </fill>
    <fill>
      <patternFill patternType="solid">
        <fgColor rgb="FFB7B7B7"/>
        <bgColor rgb="FFB7B7B7"/>
      </patternFill>
    </fill>
    <fill>
      <patternFill patternType="solid">
        <fgColor rgb="FF6FA8DC"/>
        <bgColor rgb="FF6FA8DC"/>
      </patternFill>
    </fill>
    <fill>
      <patternFill patternType="solid">
        <fgColor rgb="FFFFFFFF"/>
        <bgColor rgb="FFFFFFFF"/>
      </patternFill>
    </fill>
  </fills>
  <borders count="6">
    <border/>
    <border>
      <left style="thin">
        <color rgb="FF8EA9DB"/>
      </left>
      <top style="thin">
        <color rgb="FF8EA9DB"/>
      </top>
      <bottom style="thin">
        <color rgb="FF8EA9DB"/>
      </bottom>
    </border>
    <border>
      <top style="thin">
        <color rgb="FF8EA9DB"/>
      </top>
      <bottom style="thin">
        <color rgb="FF8EA9DB"/>
      </bottom>
    </border>
    <border>
      <right style="thin">
        <color rgb="FF8EA9DB"/>
      </right>
      <top style="thin">
        <color rgb="FF8EA9DB"/>
      </top>
      <bottom style="thin">
        <color rgb="FF8EA9DB"/>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4">
    <xf borderId="0" fillId="0" fontId="0" numFmtId="0" xfId="0" applyAlignment="1" applyFont="1">
      <alignment readingOrder="0" shrinkToFit="0" vertical="bottom" wrapText="0"/>
    </xf>
    <xf borderId="0" fillId="0" fontId="1" numFmtId="0" xfId="0" applyFont="1"/>
    <xf borderId="0" fillId="2" fontId="2" numFmtId="0" xfId="0" applyAlignment="1" applyFill="1" applyFont="1">
      <alignment horizontal="left" shrinkToFit="0" vertical="bottom" wrapText="1"/>
    </xf>
    <xf borderId="0" fillId="2" fontId="3" numFmtId="0" xfId="0" applyAlignment="1" applyFill="1" applyFont="1">
      <alignment shrinkToFit="0" vertical="bottom" wrapText="1"/>
    </xf>
    <xf borderId="1" fillId="3" fontId="4" numFmtId="0" xfId="0" applyAlignment="1" applyBorder="1" applyFill="1" applyFont="1">
      <alignment shrinkToFit="0" vertical="bottom" wrapText="0"/>
    </xf>
    <xf borderId="2" fillId="3" fontId="4" numFmtId="0" xfId="0" applyAlignment="1" applyBorder="1" applyFill="1" applyFont="1">
      <alignment shrinkToFit="0" vertical="bottom" wrapText="0"/>
    </xf>
    <xf borderId="2" fillId="3" fontId="4" numFmtId="0" xfId="0" applyAlignment="1" applyBorder="1" applyFill="1" applyFont="1">
      <alignment shrinkToFit="0" vertical="bottom" wrapText="1"/>
    </xf>
    <xf borderId="3" fillId="3" fontId="4" numFmtId="0" xfId="0" applyAlignment="1" applyBorder="1" applyFill="1" applyFont="1">
      <alignment shrinkToFit="0" vertical="bottom" wrapText="0"/>
    </xf>
    <xf borderId="0" fillId="0" fontId="5" numFmtId="0" xfId="0" applyFont="1"/>
    <xf borderId="1" fillId="0" fontId="4" numFmtId="0" xfId="0" applyAlignment="1" applyBorder="1" applyFont="1">
      <alignment shrinkToFit="0" vertical="bottom" wrapText="0"/>
    </xf>
    <xf borderId="2" fillId="0" fontId="4" numFmtId="0" xfId="0" applyAlignment="1" applyBorder="1" applyFont="1">
      <alignment shrinkToFit="0" vertical="bottom" wrapText="0"/>
    </xf>
    <xf borderId="2" fillId="0" fontId="4" numFmtId="0" xfId="0" applyAlignment="1" applyBorder="1" applyFont="1">
      <alignment shrinkToFit="0" vertical="bottom" wrapText="1"/>
    </xf>
    <xf borderId="3" fillId="0" fontId="4" numFmtId="0" xfId="0" applyAlignment="1" applyBorder="1" applyFont="1">
      <alignment shrinkToFit="0" vertical="bottom" wrapText="0"/>
    </xf>
    <xf borderId="0" fillId="0" fontId="6" numFmtId="0" xfId="0" applyAlignment="1" applyFont="1">
      <alignment shrinkToFit="0" wrapText="1"/>
    </xf>
    <xf borderId="0" fillId="0" fontId="7" numFmtId="0" xfId="0" applyAlignment="1" applyFont="1">
      <alignment vertical="bottom"/>
    </xf>
    <xf borderId="0" fillId="0" fontId="6" numFmtId="0" xfId="0" applyAlignment="1" applyFont="1">
      <alignment vertical="bottom"/>
    </xf>
    <xf borderId="0" fillId="0" fontId="8" numFmtId="0" xfId="0" applyAlignment="1" applyFont="1">
      <alignment vertical="bottom"/>
    </xf>
    <xf borderId="0" fillId="0" fontId="6" numFmtId="0" xfId="0" applyAlignment="1" applyFont="1">
      <alignment horizontal="left" shrinkToFit="0" vertical="bottom" wrapText="0"/>
    </xf>
    <xf borderId="0" fillId="4" fontId="9" numFmtId="0" xfId="0" applyAlignment="1" applyFill="1" applyFont="1">
      <alignment shrinkToFit="0" vertical="bottom" wrapText="0"/>
    </xf>
    <xf borderId="0" fillId="0" fontId="9" numFmtId="0" xfId="0" applyAlignment="1" applyFont="1">
      <alignment shrinkToFit="0" vertical="bottom" wrapText="0"/>
    </xf>
    <xf borderId="0" fillId="0" fontId="9" numFmtId="0" xfId="0" applyAlignment="1" applyFont="1">
      <alignment shrinkToFit="0" vertical="bottom" wrapText="1"/>
    </xf>
    <xf borderId="0" fillId="4" fontId="9" numFmtId="0" xfId="0" applyAlignment="1" applyFill="1" applyFont="1">
      <alignment shrinkToFit="0" vertical="bottom" wrapText="1"/>
    </xf>
    <xf borderId="0" fillId="5" fontId="9" numFmtId="0" xfId="0" applyAlignment="1" applyFill="1" applyFont="1">
      <alignment shrinkToFit="0" vertical="bottom" wrapText="0"/>
    </xf>
    <xf borderId="0" fillId="5" fontId="9" numFmtId="0" xfId="0" applyAlignment="1" applyFill="1" applyFont="1">
      <alignment shrinkToFit="0" vertical="bottom" wrapText="1"/>
    </xf>
    <xf borderId="0" fillId="0" fontId="9" numFmtId="0" xfId="0" applyAlignment="1" applyFont="1">
      <alignment horizontal="center" shrinkToFit="0" vertical="bottom" wrapText="0"/>
    </xf>
    <xf borderId="0" fillId="6" fontId="10" numFmtId="0" xfId="0" applyAlignment="1" applyFill="1" applyFont="1">
      <alignment horizontal="left" shrinkToFit="0" vertical="center" wrapText="1"/>
    </xf>
    <xf borderId="0" fillId="6" fontId="11" numFmtId="0" xfId="0" applyAlignment="1" applyFill="1" applyFont="1">
      <alignment horizontal="left" shrinkToFit="0" vertical="center" wrapText="1"/>
    </xf>
    <xf borderId="0" fillId="0" fontId="4" numFmtId="0" xfId="0" applyAlignment="1" applyFont="1">
      <alignment shrinkToFit="0" vertical="bottom" wrapText="0"/>
    </xf>
    <xf borderId="0" fillId="0" fontId="6" numFmtId="0" xfId="0" applyAlignment="1" applyFont="1">
      <alignment shrinkToFit="0" vertical="center" wrapText="0"/>
    </xf>
    <xf borderId="0" fillId="0" fontId="6" numFmtId="0" xfId="0" applyAlignment="1" applyFont="1">
      <alignment shrinkToFit="0" vertical="center" wrapText="1"/>
    </xf>
    <xf borderId="0" fillId="0" fontId="6" numFmtId="164" xfId="0" applyAlignment="1" applyFont="1" applyNumberFormat="1">
      <alignment shrinkToFit="0" vertical="center" wrapText="0"/>
    </xf>
    <xf borderId="0" fillId="0" fontId="12" numFmtId="0" xfId="0" applyFont="1"/>
    <xf borderId="0" fillId="7" fontId="4" numFmtId="0" xfId="0" applyAlignment="1" applyFill="1" applyFont="1">
      <alignment shrinkToFit="0" vertical="bottom" wrapText="0"/>
    </xf>
    <xf borderId="0" fillId="7" fontId="4" numFmtId="0" xfId="0" applyAlignment="1" applyFill="1" applyFont="1">
      <alignment shrinkToFit="0" vertical="bottom" wrapText="1"/>
    </xf>
    <xf borderId="0" fillId="2" fontId="13" numFmtId="0" xfId="0" applyAlignment="1" applyFill="1" applyFont="1">
      <alignment horizontal="left" shrinkToFit="0" vertical="center" wrapText="1"/>
    </xf>
    <xf borderId="0" fillId="0" fontId="14" numFmtId="0" xfId="0" applyAlignment="1" applyFont="1">
      <alignment horizontal="left" readingOrder="0" shrinkToFit="0" vertical="center" wrapText="1"/>
    </xf>
    <xf borderId="4" fillId="0" fontId="0" numFmtId="0" xfId="0" applyAlignment="1" applyBorder="1" applyFont="1">
      <alignment horizontal="left" shrinkToFit="0" vertical="center" wrapText="0"/>
    </xf>
    <xf borderId="4" fillId="0" fontId="0" numFmtId="0" xfId="0" applyAlignment="1" applyBorder="1" applyFont="1">
      <alignment shrinkToFit="0" vertical="center" wrapText="0"/>
    </xf>
    <xf borderId="5" fillId="0" fontId="0" numFmtId="0" xfId="0" applyAlignment="1" applyBorder="1" applyFont="1">
      <alignment horizontal="left" shrinkToFit="0" vertical="center" wrapText="0"/>
    </xf>
    <xf borderId="5" fillId="0" fontId="0" numFmtId="0" xfId="0" applyAlignment="1" applyBorder="1" applyFont="1">
      <alignment shrinkToFit="0" vertical="center" wrapText="0"/>
    </xf>
    <xf borderId="5" fillId="0" fontId="0" numFmtId="9" xfId="0" applyAlignment="1" applyBorder="1" applyFont="1" applyNumberFormat="1">
      <alignment shrinkToFit="0" vertical="center" wrapText="0"/>
    </xf>
    <xf borderId="5" fillId="0" fontId="0" numFmtId="0" xfId="0" applyAlignment="1" applyBorder="1" applyFont="1">
      <alignment shrinkToFit="0" vertical="center" wrapText="0"/>
    </xf>
    <xf borderId="0" fillId="2" fontId="3" numFmtId="0" xfId="0" applyAlignment="1" applyFill="1" applyFont="1">
      <alignment shrinkToFit="0" vertical="bottom" wrapText="0"/>
    </xf>
    <xf borderId="0" fillId="0" fontId="15" numFmtId="0" xfId="0" applyAlignment="1" applyFont="1">
      <alignment shrinkToFit="0" vertical="bottom"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Dashboard-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B16" displayName="Table1" name="Table1" id="1">
  <tableColumns count="2">
    <tableColumn name="Metric" id="1"/>
    <tableColumn name="Value" id="2"/>
  </tableColumns>
  <tableStyleInfo name="Dashboard-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6" width="12.63"/>
  </cols>
  <sheetData>
    <row r="1" ht="15.75" customHeight="1">
      <c r="A1" s="1" t="s">
        <v>0</v>
      </c>
    </row>
    <row r="2" ht="15.75" customHeight="1">
      <c r="A2" s="1" t="s">
        <v>1</v>
      </c>
    </row>
    <row r="3" ht="15.75" customHeight="1">
      <c r="A3" s="1"/>
    </row>
    <row r="4" ht="15.75" customHeight="1">
      <c r="A4" s="1" t="s">
        <v>2</v>
      </c>
    </row>
    <row r="5" ht="15.75" customHeight="1">
      <c r="A5" s="1" t="s">
        <v>3</v>
      </c>
    </row>
    <row r="6" ht="15.75" customHeight="1">
      <c r="A6" s="1" t="s">
        <v>4</v>
      </c>
    </row>
    <row r="7" ht="15.75" customHeight="1">
      <c r="A7" s="1" t="s">
        <v>5</v>
      </c>
    </row>
    <row r="8" ht="15.75" customHeight="1">
      <c r="A8" s="1" t="s">
        <v>6</v>
      </c>
    </row>
    <row r="9" ht="15.75" customHeight="1">
      <c r="A9" s="1" t="s">
        <v>7</v>
      </c>
    </row>
    <row r="10" ht="15.75" customHeight="1">
      <c r="A10" s="1"/>
    </row>
    <row r="11" ht="15.75" customHeight="1">
      <c r="A11" s="1" t="s">
        <v>8</v>
      </c>
    </row>
    <row r="12" ht="15.75" customHeight="1">
      <c r="A12" s="1"/>
    </row>
    <row r="13" ht="15.75" customHeight="1">
      <c r="A13" s="1" t="s">
        <v>9</v>
      </c>
    </row>
    <row r="14" ht="15.75" customHeight="1">
      <c r="A14" s="1"/>
    </row>
    <row r="15" ht="15.75" customHeight="1">
      <c r="A15" s="1" t="s">
        <v>10</v>
      </c>
    </row>
    <row r="16" ht="15.75" customHeight="1">
      <c r="A16" s="1"/>
    </row>
    <row r="17" ht="15.75" customHeight="1">
      <c r="A17" s="1" t="s">
        <v>11</v>
      </c>
    </row>
    <row r="18" ht="15.75" customHeight="1">
      <c r="A18" s="1"/>
    </row>
    <row r="19" ht="15.75" customHeight="1">
      <c r="A19" s="1" t="s">
        <v>12</v>
      </c>
    </row>
    <row r="20" ht="15.75" customHeight="1">
      <c r="A20" s="1"/>
    </row>
    <row r="21" ht="15.75" customHeight="1">
      <c r="A21" s="1" t="s">
        <v>13</v>
      </c>
    </row>
    <row r="22" ht="15.75" customHeight="1">
      <c r="A22" s="1"/>
    </row>
    <row r="23" ht="15.75" customHeight="1">
      <c r="A23" s="1" t="s">
        <v>14</v>
      </c>
    </row>
    <row r="24" ht="15.75" customHeight="1">
      <c r="A24" s="1"/>
    </row>
    <row r="25" ht="15.75" customHeight="1">
      <c r="A25" s="1" t="s">
        <v>15</v>
      </c>
    </row>
    <row r="26" ht="15.75" customHeight="1">
      <c r="A26" s="1"/>
    </row>
    <row r="27" ht="15.75" customHeight="1">
      <c r="A27" s="1" t="s">
        <v>16</v>
      </c>
    </row>
    <row r="28" ht="15.75" customHeight="1">
      <c r="A28" s="1"/>
    </row>
    <row r="29" ht="15.75" customHeight="1">
      <c r="A29" s="1" t="s">
        <v>17</v>
      </c>
    </row>
    <row r="30" ht="15.75" customHeight="1">
      <c r="A30" s="1"/>
    </row>
    <row r="31" ht="15.75" customHeight="1">
      <c r="A31" s="1" t="s">
        <v>18</v>
      </c>
    </row>
    <row r="32" ht="15.75" customHeight="1">
      <c r="A32" s="1"/>
    </row>
    <row r="33" ht="15.75" customHeight="1">
      <c r="A33" s="1" t="s">
        <v>19</v>
      </c>
    </row>
    <row r="34" ht="15.75" customHeight="1">
      <c r="A34" s="1"/>
    </row>
    <row r="35" ht="15.75" customHeight="1">
      <c r="A35" s="1" t="s">
        <v>20</v>
      </c>
    </row>
    <row r="36" ht="15.75" customHeight="1">
      <c r="A36" s="1"/>
    </row>
    <row r="37" ht="15.75" customHeight="1">
      <c r="A37" s="1" t="s">
        <v>21</v>
      </c>
    </row>
    <row r="38" ht="15.75" customHeight="1">
      <c r="A38" s="1"/>
    </row>
    <row r="39" ht="15.75" customHeight="1">
      <c r="A39" s="1" t="s">
        <v>22</v>
      </c>
    </row>
    <row r="40" ht="15.75" customHeight="1">
      <c r="A40" s="1"/>
    </row>
    <row r="41" ht="15.75" customHeight="1">
      <c r="A41" s="1" t="s">
        <v>23</v>
      </c>
    </row>
    <row r="42" ht="15.75" customHeight="1">
      <c r="A42" s="1"/>
    </row>
    <row r="43" ht="15.75" customHeight="1">
      <c r="A43" s="1" t="s">
        <v>24</v>
      </c>
    </row>
    <row r="44" ht="15.75" customHeight="1">
      <c r="A44" s="1" t="s">
        <v>25</v>
      </c>
    </row>
    <row r="45" ht="15.75" customHeight="1">
      <c r="A45" s="1"/>
    </row>
    <row r="46" ht="15.75" customHeight="1">
      <c r="A46" s="1" t="s">
        <v>26</v>
      </c>
    </row>
    <row r="47" ht="15.75" customHeight="1">
      <c r="A47" s="1"/>
    </row>
    <row r="48" ht="15.75" customHeight="1">
      <c r="A48" s="1" t="s">
        <v>27</v>
      </c>
    </row>
    <row r="49" ht="15.75" customHeight="1">
      <c r="A49" s="1"/>
    </row>
    <row r="50" ht="15.75" customHeight="1">
      <c r="A50" s="1" t="s">
        <v>28</v>
      </c>
    </row>
    <row r="51" ht="15.75" customHeight="1">
      <c r="A51" s="1"/>
    </row>
    <row r="52" ht="15.75" customHeight="1">
      <c r="A52" s="1" t="s">
        <v>29</v>
      </c>
    </row>
    <row r="53" ht="15.75" customHeight="1">
      <c r="A53" s="1"/>
    </row>
    <row r="54" ht="15.75" customHeight="1">
      <c r="A54" s="1" t="s">
        <v>30</v>
      </c>
    </row>
    <row r="55" ht="15.75" customHeight="1">
      <c r="A55" s="1"/>
    </row>
    <row r="56" ht="15.75" customHeight="1">
      <c r="A56" s="1" t="s">
        <v>31</v>
      </c>
    </row>
    <row r="57" ht="15.75" customHeight="1">
      <c r="A57" s="1"/>
    </row>
    <row r="58" ht="15.75" customHeight="1">
      <c r="A58" s="1" t="s">
        <v>32</v>
      </c>
    </row>
    <row r="59" ht="15.75" customHeight="1">
      <c r="A59" s="1"/>
    </row>
    <row r="60" ht="15.75" customHeight="1">
      <c r="A60" s="1" t="s">
        <v>33</v>
      </c>
    </row>
    <row r="61" ht="15.75" customHeight="1">
      <c r="A61" s="1"/>
    </row>
    <row r="62" ht="15.75" customHeight="1">
      <c r="A62" s="1" t="s">
        <v>34</v>
      </c>
    </row>
    <row r="63" ht="15.75" customHeight="1">
      <c r="A63" s="1"/>
    </row>
    <row r="64" ht="15.75" customHeight="1">
      <c r="A64" s="1" t="s">
        <v>35</v>
      </c>
    </row>
    <row r="65" ht="15.75" customHeight="1">
      <c r="A65" s="1"/>
    </row>
    <row r="66" ht="15.75" customHeight="1">
      <c r="A66" s="1" t="s">
        <v>36</v>
      </c>
    </row>
    <row r="67" ht="15.75" customHeight="1">
      <c r="A67" s="1"/>
    </row>
    <row r="68" ht="15.75" customHeight="1">
      <c r="A68" s="1" t="s">
        <v>37</v>
      </c>
    </row>
    <row r="69" ht="15.75" customHeight="1">
      <c r="A69" s="1"/>
    </row>
    <row r="70" ht="15.75" customHeight="1">
      <c r="A70" s="1" t="s">
        <v>38</v>
      </c>
    </row>
    <row r="71" ht="15.75" customHeight="1">
      <c r="A71" s="1"/>
    </row>
    <row r="72" ht="15.75" customHeight="1">
      <c r="A72" s="1" t="s">
        <v>39</v>
      </c>
    </row>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6.88"/>
    <col customWidth="1" min="2" max="2" width="22.38"/>
    <col customWidth="1" min="3" max="3" width="56.0"/>
    <col customWidth="1" min="4" max="4" width="17.13"/>
    <col customWidth="1" min="5" max="5" width="29.0"/>
    <col customWidth="1" min="6" max="6" width="12.63"/>
    <col customWidth="1" min="8" max="8" width="21.0"/>
    <col customWidth="1" min="9" max="9" width="26.88"/>
    <col customWidth="1" min="10" max="10" width="31.75"/>
    <col customWidth="1" min="11" max="11" width="18.13"/>
    <col customWidth="1" min="12" max="12" width="15.5"/>
    <col customWidth="1" min="13" max="13" width="55.0"/>
    <col customWidth="1" min="14" max="14" width="17.38"/>
    <col customWidth="1" min="15" max="16" width="21.0"/>
  </cols>
  <sheetData>
    <row r="1" ht="30.0" customHeight="1">
      <c r="A1" s="2" t="s">
        <v>40</v>
      </c>
      <c r="B1" s="2" t="s">
        <v>41</v>
      </c>
      <c r="C1" s="2" t="s">
        <v>42</v>
      </c>
      <c r="D1" s="2" t="s">
        <v>43</v>
      </c>
      <c r="E1" s="2" t="s">
        <v>44</v>
      </c>
      <c r="F1" s="2" t="s">
        <v>45</v>
      </c>
      <c r="G1" s="2" t="s">
        <v>46</v>
      </c>
      <c r="H1" s="2" t="s">
        <v>47</v>
      </c>
      <c r="I1" s="2" t="s">
        <v>48</v>
      </c>
      <c r="J1" s="2" t="s">
        <v>49</v>
      </c>
      <c r="K1" s="2" t="s">
        <v>50</v>
      </c>
      <c r="L1" s="2" t="s">
        <v>51</v>
      </c>
      <c r="M1" s="2" t="s">
        <v>52</v>
      </c>
      <c r="N1" s="2" t="s">
        <v>53</v>
      </c>
      <c r="O1" s="3" t="s">
        <v>54</v>
      </c>
      <c r="P1" s="3" t="s">
        <v>55</v>
      </c>
    </row>
    <row r="2" ht="49.5" customHeight="1">
      <c r="A2" s="4" t="s">
        <v>56</v>
      </c>
      <c r="B2" s="5" t="s">
        <v>57</v>
      </c>
      <c r="C2" s="6" t="s">
        <v>58</v>
      </c>
      <c r="D2" s="5" t="s">
        <v>59</v>
      </c>
      <c r="E2" s="5" t="s">
        <v>60</v>
      </c>
      <c r="F2" s="5" t="s">
        <v>61</v>
      </c>
      <c r="G2" s="5" t="s">
        <v>62</v>
      </c>
      <c r="H2" s="5" t="s">
        <v>62</v>
      </c>
      <c r="I2" s="5" t="s">
        <v>62</v>
      </c>
      <c r="J2" s="5" t="s">
        <v>63</v>
      </c>
      <c r="K2" s="5" t="s">
        <v>64</v>
      </c>
      <c r="L2" s="5" t="s">
        <v>65</v>
      </c>
      <c r="M2" s="6" t="s">
        <v>66</v>
      </c>
      <c r="N2" s="7" t="s">
        <v>67</v>
      </c>
      <c r="O2" s="8" t="s">
        <v>68</v>
      </c>
    </row>
    <row r="3" ht="49.5" customHeight="1">
      <c r="A3" s="9" t="s">
        <v>69</v>
      </c>
      <c r="B3" s="10" t="s">
        <v>57</v>
      </c>
      <c r="C3" s="11" t="s">
        <v>70</v>
      </c>
      <c r="D3" s="10" t="s">
        <v>59</v>
      </c>
      <c r="E3" s="10" t="s">
        <v>71</v>
      </c>
      <c r="F3" s="10" t="s">
        <v>71</v>
      </c>
      <c r="G3" s="10" t="s">
        <v>71</v>
      </c>
      <c r="H3" s="10" t="s">
        <v>71</v>
      </c>
      <c r="I3" s="10" t="s">
        <v>71</v>
      </c>
      <c r="J3" s="10" t="s">
        <v>72</v>
      </c>
      <c r="K3" s="10" t="s">
        <v>73</v>
      </c>
      <c r="L3" s="10" t="s">
        <v>60</v>
      </c>
      <c r="M3" s="11" t="s">
        <v>74</v>
      </c>
      <c r="N3" s="12" t="s">
        <v>67</v>
      </c>
      <c r="O3" s="8" t="s">
        <v>75</v>
      </c>
    </row>
    <row r="4" ht="49.5" customHeight="1">
      <c r="A4" s="4" t="s">
        <v>76</v>
      </c>
      <c r="B4" s="5" t="s">
        <v>77</v>
      </c>
      <c r="C4" s="6" t="s">
        <v>78</v>
      </c>
      <c r="D4" s="5" t="s">
        <v>59</v>
      </c>
      <c r="E4" s="5" t="s">
        <v>60</v>
      </c>
      <c r="F4" s="5" t="s">
        <v>61</v>
      </c>
      <c r="G4" s="5" t="s">
        <v>62</v>
      </c>
      <c r="H4" s="5" t="s">
        <v>61</v>
      </c>
      <c r="I4" s="5" t="s">
        <v>62</v>
      </c>
      <c r="J4" s="5" t="s">
        <v>63</v>
      </c>
      <c r="K4" s="5" t="s">
        <v>64</v>
      </c>
      <c r="L4" s="5" t="s">
        <v>65</v>
      </c>
      <c r="M4" s="6" t="s">
        <v>79</v>
      </c>
      <c r="N4" s="7" t="s">
        <v>80</v>
      </c>
      <c r="O4" s="8" t="s">
        <v>68</v>
      </c>
    </row>
    <row r="5" ht="49.5" customHeight="1">
      <c r="A5" s="9" t="s">
        <v>81</v>
      </c>
      <c r="B5" s="10" t="s">
        <v>82</v>
      </c>
      <c r="C5" s="11" t="s">
        <v>83</v>
      </c>
      <c r="D5" s="10" t="s">
        <v>59</v>
      </c>
      <c r="E5" s="10" t="s">
        <v>60</v>
      </c>
      <c r="F5" s="10" t="s">
        <v>61</v>
      </c>
      <c r="G5" s="10" t="s">
        <v>61</v>
      </c>
      <c r="H5" s="10" t="s">
        <v>62</v>
      </c>
      <c r="I5" s="10" t="s">
        <v>62</v>
      </c>
      <c r="J5" s="10" t="s">
        <v>63</v>
      </c>
      <c r="K5" s="10" t="s">
        <v>64</v>
      </c>
      <c r="L5" s="10" t="s">
        <v>65</v>
      </c>
      <c r="M5" s="11" t="s">
        <v>84</v>
      </c>
      <c r="N5" s="12" t="s">
        <v>80</v>
      </c>
      <c r="O5" s="8" t="s">
        <v>68</v>
      </c>
    </row>
    <row r="6" ht="49.5" customHeight="1">
      <c r="A6" s="4" t="s">
        <v>85</v>
      </c>
      <c r="B6" s="5" t="s">
        <v>86</v>
      </c>
      <c r="C6" s="6" t="s">
        <v>87</v>
      </c>
      <c r="D6" s="5" t="s">
        <v>88</v>
      </c>
      <c r="E6" s="5" t="s">
        <v>65</v>
      </c>
      <c r="F6" s="5" t="s">
        <v>62</v>
      </c>
      <c r="G6" s="5" t="s">
        <v>62</v>
      </c>
      <c r="H6" s="5" t="s">
        <v>62</v>
      </c>
      <c r="I6" s="5" t="s">
        <v>62</v>
      </c>
      <c r="J6" s="5" t="s">
        <v>68</v>
      </c>
      <c r="K6" s="5" t="s">
        <v>64</v>
      </c>
      <c r="L6" s="5" t="s">
        <v>65</v>
      </c>
      <c r="M6" s="6" t="s">
        <v>89</v>
      </c>
      <c r="N6" s="7" t="s">
        <v>67</v>
      </c>
      <c r="O6" s="8" t="s">
        <v>68</v>
      </c>
    </row>
    <row r="7" ht="49.5" customHeight="1">
      <c r="A7" s="9" t="s">
        <v>90</v>
      </c>
      <c r="B7" s="10" t="s">
        <v>57</v>
      </c>
      <c r="C7" s="11" t="s">
        <v>91</v>
      </c>
      <c r="D7" s="10" t="s">
        <v>59</v>
      </c>
      <c r="E7" s="10" t="s">
        <v>71</v>
      </c>
      <c r="F7" s="10" t="s">
        <v>71</v>
      </c>
      <c r="G7" s="10" t="s">
        <v>71</v>
      </c>
      <c r="H7" s="10" t="s">
        <v>71</v>
      </c>
      <c r="I7" s="10" t="s">
        <v>71</v>
      </c>
      <c r="J7" s="10" t="s">
        <v>71</v>
      </c>
      <c r="K7" s="10" t="s">
        <v>73</v>
      </c>
      <c r="L7" s="10" t="s">
        <v>60</v>
      </c>
      <c r="M7" s="11" t="s">
        <v>92</v>
      </c>
      <c r="N7" s="12" t="s">
        <v>80</v>
      </c>
      <c r="O7" s="8" t="s">
        <v>75</v>
      </c>
    </row>
    <row r="8" ht="49.5" customHeight="1">
      <c r="A8" s="4" t="s">
        <v>93</v>
      </c>
      <c r="B8" s="5" t="s">
        <v>77</v>
      </c>
      <c r="C8" s="6" t="s">
        <v>94</v>
      </c>
      <c r="D8" s="5" t="s">
        <v>59</v>
      </c>
      <c r="E8" s="5" t="s">
        <v>60</v>
      </c>
      <c r="F8" s="5" t="s">
        <v>61</v>
      </c>
      <c r="G8" s="5" t="s">
        <v>62</v>
      </c>
      <c r="H8" s="5" t="s">
        <v>61</v>
      </c>
      <c r="I8" s="5" t="s">
        <v>62</v>
      </c>
      <c r="J8" s="5" t="s">
        <v>63</v>
      </c>
      <c r="K8" s="5" t="s">
        <v>64</v>
      </c>
      <c r="L8" s="5" t="s">
        <v>65</v>
      </c>
      <c r="M8" s="6" t="s">
        <v>95</v>
      </c>
      <c r="N8" s="7" t="s">
        <v>67</v>
      </c>
      <c r="O8" s="8" t="s">
        <v>68</v>
      </c>
    </row>
    <row r="9" ht="49.5" customHeight="1">
      <c r="A9" s="9" t="s">
        <v>96</v>
      </c>
      <c r="B9" s="10" t="s">
        <v>57</v>
      </c>
      <c r="C9" s="11" t="s">
        <v>97</v>
      </c>
      <c r="D9" s="10" t="s">
        <v>88</v>
      </c>
      <c r="E9" s="10" t="s">
        <v>65</v>
      </c>
      <c r="F9" s="10" t="s">
        <v>62</v>
      </c>
      <c r="G9" s="10" t="s">
        <v>62</v>
      </c>
      <c r="H9" s="10" t="s">
        <v>62</v>
      </c>
      <c r="I9" s="10" t="s">
        <v>62</v>
      </c>
      <c r="J9" s="10" t="s">
        <v>63</v>
      </c>
      <c r="K9" s="10" t="s">
        <v>64</v>
      </c>
      <c r="L9" s="10" t="s">
        <v>65</v>
      </c>
      <c r="M9" s="11" t="s">
        <v>98</v>
      </c>
      <c r="N9" s="12" t="s">
        <v>67</v>
      </c>
      <c r="O9" s="8" t="s">
        <v>68</v>
      </c>
    </row>
    <row r="10" ht="49.5" customHeight="1">
      <c r="A10" s="4" t="s">
        <v>99</v>
      </c>
      <c r="B10" s="5" t="s">
        <v>100</v>
      </c>
      <c r="C10" s="6" t="s">
        <v>101</v>
      </c>
      <c r="D10" s="5" t="s">
        <v>88</v>
      </c>
      <c r="E10" s="5" t="s">
        <v>65</v>
      </c>
      <c r="F10" s="5" t="s">
        <v>62</v>
      </c>
      <c r="G10" s="5" t="s">
        <v>62</v>
      </c>
      <c r="H10" s="5" t="s">
        <v>62</v>
      </c>
      <c r="I10" s="5" t="s">
        <v>62</v>
      </c>
      <c r="J10" s="5" t="s">
        <v>63</v>
      </c>
      <c r="K10" s="5" t="s">
        <v>64</v>
      </c>
      <c r="L10" s="5" t="s">
        <v>65</v>
      </c>
      <c r="M10" s="6" t="s">
        <v>102</v>
      </c>
      <c r="N10" s="7" t="s">
        <v>67</v>
      </c>
      <c r="O10" s="8" t="s">
        <v>68</v>
      </c>
    </row>
    <row r="11" ht="49.5" customHeight="1">
      <c r="A11" s="9" t="s">
        <v>103</v>
      </c>
      <c r="B11" s="10" t="s">
        <v>57</v>
      </c>
      <c r="C11" s="11" t="s">
        <v>104</v>
      </c>
      <c r="D11" s="10" t="s">
        <v>59</v>
      </c>
      <c r="E11" s="10" t="s">
        <v>71</v>
      </c>
      <c r="F11" s="10" t="s">
        <v>71</v>
      </c>
      <c r="G11" s="10" t="s">
        <v>71</v>
      </c>
      <c r="H11" s="10" t="s">
        <v>71</v>
      </c>
      <c r="I11" s="10" t="s">
        <v>71</v>
      </c>
      <c r="J11" s="10" t="s">
        <v>72</v>
      </c>
      <c r="K11" s="10" t="s">
        <v>73</v>
      </c>
      <c r="L11" s="10" t="s">
        <v>60</v>
      </c>
      <c r="M11" s="11" t="s">
        <v>105</v>
      </c>
      <c r="N11" s="12" t="s">
        <v>80</v>
      </c>
      <c r="O11" s="8" t="s">
        <v>75</v>
      </c>
    </row>
    <row r="12" ht="49.5" customHeight="1">
      <c r="A12" s="4" t="s">
        <v>106</v>
      </c>
      <c r="B12" s="5" t="s">
        <v>77</v>
      </c>
      <c r="C12" s="6" t="s">
        <v>107</v>
      </c>
      <c r="D12" s="5" t="s">
        <v>59</v>
      </c>
      <c r="E12" s="5" t="s">
        <v>60</v>
      </c>
      <c r="F12" s="5" t="s">
        <v>61</v>
      </c>
      <c r="G12" s="5" t="s">
        <v>61</v>
      </c>
      <c r="H12" s="5" t="s">
        <v>62</v>
      </c>
      <c r="I12" s="5" t="s">
        <v>62</v>
      </c>
      <c r="J12" s="5" t="s">
        <v>63</v>
      </c>
      <c r="K12" s="5" t="s">
        <v>64</v>
      </c>
      <c r="L12" s="5" t="s">
        <v>65</v>
      </c>
      <c r="M12" s="6" t="s">
        <v>108</v>
      </c>
      <c r="N12" s="7" t="s">
        <v>67</v>
      </c>
      <c r="O12" s="8" t="s">
        <v>68</v>
      </c>
    </row>
    <row r="13" ht="49.5" customHeight="1">
      <c r="A13" s="9" t="s">
        <v>109</v>
      </c>
      <c r="B13" s="10" t="s">
        <v>57</v>
      </c>
      <c r="C13" s="11" t="s">
        <v>110</v>
      </c>
      <c r="D13" s="10" t="s">
        <v>59</v>
      </c>
      <c r="E13" s="10" t="s">
        <v>71</v>
      </c>
      <c r="F13" s="10" t="s">
        <v>71</v>
      </c>
      <c r="G13" s="10" t="s">
        <v>71</v>
      </c>
      <c r="H13" s="10" t="s">
        <v>71</v>
      </c>
      <c r="I13" s="10" t="s">
        <v>71</v>
      </c>
      <c r="J13" s="10" t="s">
        <v>111</v>
      </c>
      <c r="K13" s="10" t="s">
        <v>73</v>
      </c>
      <c r="L13" s="10" t="s">
        <v>60</v>
      </c>
      <c r="M13" s="11" t="s">
        <v>112</v>
      </c>
      <c r="N13" s="12" t="s">
        <v>67</v>
      </c>
      <c r="O13" s="8" t="s">
        <v>75</v>
      </c>
    </row>
    <row r="14" ht="49.5" customHeight="1">
      <c r="A14" s="4" t="s">
        <v>113</v>
      </c>
      <c r="B14" s="5" t="s">
        <v>57</v>
      </c>
      <c r="C14" s="6" t="s">
        <v>114</v>
      </c>
      <c r="D14" s="5" t="s">
        <v>59</v>
      </c>
      <c r="E14" s="5" t="s">
        <v>60</v>
      </c>
      <c r="F14" s="5" t="s">
        <v>61</v>
      </c>
      <c r="G14" s="5" t="s">
        <v>62</v>
      </c>
      <c r="H14" s="5" t="s">
        <v>62</v>
      </c>
      <c r="I14" s="5" t="s">
        <v>62</v>
      </c>
      <c r="J14" s="5" t="s">
        <v>63</v>
      </c>
      <c r="K14" s="5" t="s">
        <v>64</v>
      </c>
      <c r="L14" s="5" t="s">
        <v>65</v>
      </c>
      <c r="M14" s="6" t="s">
        <v>115</v>
      </c>
      <c r="N14" s="7" t="s">
        <v>67</v>
      </c>
      <c r="O14" s="8" t="s">
        <v>68</v>
      </c>
      <c r="P14" s="8" t="s">
        <v>56</v>
      </c>
    </row>
    <row r="15" ht="49.5" customHeight="1">
      <c r="A15" s="9" t="s">
        <v>116</v>
      </c>
      <c r="B15" s="10" t="s">
        <v>86</v>
      </c>
      <c r="C15" s="11" t="s">
        <v>117</v>
      </c>
      <c r="D15" s="10" t="s">
        <v>88</v>
      </c>
      <c r="E15" s="10" t="s">
        <v>65</v>
      </c>
      <c r="F15" s="10" t="s">
        <v>62</v>
      </c>
      <c r="G15" s="10" t="s">
        <v>62</v>
      </c>
      <c r="H15" s="10" t="s">
        <v>62</v>
      </c>
      <c r="I15" s="10" t="s">
        <v>62</v>
      </c>
      <c r="J15" s="10" t="s">
        <v>63</v>
      </c>
      <c r="K15" s="10" t="s">
        <v>64</v>
      </c>
      <c r="L15" s="10" t="s">
        <v>65</v>
      </c>
      <c r="M15" s="11" t="s">
        <v>118</v>
      </c>
      <c r="N15" s="12" t="s">
        <v>67</v>
      </c>
      <c r="O15" s="8" t="s">
        <v>68</v>
      </c>
    </row>
    <row r="16" ht="49.5" customHeight="1">
      <c r="A16" s="4" t="s">
        <v>119</v>
      </c>
      <c r="B16" s="5" t="s">
        <v>77</v>
      </c>
      <c r="C16" s="6" t="s">
        <v>120</v>
      </c>
      <c r="D16" s="5" t="s">
        <v>59</v>
      </c>
      <c r="E16" s="5" t="s">
        <v>71</v>
      </c>
      <c r="F16" s="5" t="s">
        <v>71</v>
      </c>
      <c r="G16" s="5" t="s">
        <v>71</v>
      </c>
      <c r="H16" s="5" t="s">
        <v>71</v>
      </c>
      <c r="I16" s="5" t="s">
        <v>71</v>
      </c>
      <c r="J16" s="5" t="s">
        <v>72</v>
      </c>
      <c r="K16" s="5" t="s">
        <v>73</v>
      </c>
      <c r="L16" s="5" t="s">
        <v>60</v>
      </c>
      <c r="M16" s="6" t="s">
        <v>121</v>
      </c>
      <c r="N16" s="7" t="s">
        <v>67</v>
      </c>
      <c r="O16" s="8" t="s">
        <v>75</v>
      </c>
    </row>
    <row r="17" ht="49.5" customHeight="1">
      <c r="A17" s="9" t="s">
        <v>122</v>
      </c>
      <c r="B17" s="10" t="s">
        <v>57</v>
      </c>
      <c r="C17" s="11" t="s">
        <v>123</v>
      </c>
      <c r="D17" s="10" t="s">
        <v>59</v>
      </c>
      <c r="E17" s="10" t="s">
        <v>71</v>
      </c>
      <c r="F17" s="10" t="s">
        <v>71</v>
      </c>
      <c r="G17" s="10" t="s">
        <v>71</v>
      </c>
      <c r="H17" s="10" t="s">
        <v>71</v>
      </c>
      <c r="I17" s="10" t="s">
        <v>71</v>
      </c>
      <c r="J17" s="10" t="s">
        <v>124</v>
      </c>
      <c r="K17" s="10" t="s">
        <v>73</v>
      </c>
      <c r="L17" s="10" t="s">
        <v>60</v>
      </c>
      <c r="M17" s="11" t="s">
        <v>125</v>
      </c>
      <c r="N17" s="12" t="s">
        <v>67</v>
      </c>
      <c r="O17" s="8" t="s">
        <v>75</v>
      </c>
    </row>
    <row r="18" ht="49.5" customHeight="1">
      <c r="A18" s="4" t="s">
        <v>126</v>
      </c>
      <c r="B18" s="5" t="s">
        <v>82</v>
      </c>
      <c r="C18" s="6" t="s">
        <v>127</v>
      </c>
      <c r="D18" s="5" t="s">
        <v>59</v>
      </c>
      <c r="E18" s="5" t="s">
        <v>60</v>
      </c>
      <c r="F18" s="5" t="s">
        <v>61</v>
      </c>
      <c r="G18" s="5" t="s">
        <v>61</v>
      </c>
      <c r="H18" s="5" t="s">
        <v>62</v>
      </c>
      <c r="I18" s="5" t="s">
        <v>62</v>
      </c>
      <c r="J18" s="5" t="s">
        <v>63</v>
      </c>
      <c r="K18" s="5" t="s">
        <v>64</v>
      </c>
      <c r="L18" s="5" t="s">
        <v>65</v>
      </c>
      <c r="M18" s="6" t="s">
        <v>128</v>
      </c>
      <c r="N18" s="7" t="s">
        <v>67</v>
      </c>
      <c r="O18" s="8" t="s">
        <v>68</v>
      </c>
    </row>
    <row r="19" ht="49.5" customHeight="1">
      <c r="A19" s="9" t="s">
        <v>129</v>
      </c>
      <c r="B19" s="10" t="s">
        <v>57</v>
      </c>
      <c r="C19" s="11" t="s">
        <v>130</v>
      </c>
      <c r="D19" s="10" t="s">
        <v>59</v>
      </c>
      <c r="E19" s="10" t="s">
        <v>71</v>
      </c>
      <c r="F19" s="10" t="s">
        <v>71</v>
      </c>
      <c r="G19" s="10" t="s">
        <v>62</v>
      </c>
      <c r="H19" s="10" t="s">
        <v>62</v>
      </c>
      <c r="I19" s="10" t="s">
        <v>62</v>
      </c>
      <c r="J19" s="10" t="s">
        <v>68</v>
      </c>
      <c r="K19" s="10" t="s">
        <v>131</v>
      </c>
      <c r="L19" s="10" t="s">
        <v>65</v>
      </c>
      <c r="M19" s="11" t="s">
        <v>132</v>
      </c>
      <c r="N19" s="12" t="s">
        <v>67</v>
      </c>
      <c r="O19" s="8" t="s">
        <v>68</v>
      </c>
    </row>
    <row r="20" ht="49.5" customHeight="1">
      <c r="A20" s="4" t="s">
        <v>133</v>
      </c>
      <c r="B20" s="5" t="s">
        <v>134</v>
      </c>
      <c r="C20" s="6" t="s">
        <v>135</v>
      </c>
      <c r="D20" s="5" t="s">
        <v>59</v>
      </c>
      <c r="E20" s="5" t="s">
        <v>60</v>
      </c>
      <c r="F20" s="5" t="s">
        <v>61</v>
      </c>
      <c r="G20" s="5" t="s">
        <v>62</v>
      </c>
      <c r="H20" s="5" t="s">
        <v>62</v>
      </c>
      <c r="I20" s="5" t="s">
        <v>61</v>
      </c>
      <c r="J20" s="5" t="s">
        <v>63</v>
      </c>
      <c r="K20" s="5" t="s">
        <v>64</v>
      </c>
      <c r="L20" s="5" t="s">
        <v>60</v>
      </c>
      <c r="M20" s="6" t="s">
        <v>136</v>
      </c>
      <c r="N20" s="7" t="s">
        <v>67</v>
      </c>
      <c r="O20" s="8" t="s">
        <v>68</v>
      </c>
    </row>
    <row r="21" ht="49.5" customHeight="1">
      <c r="A21" s="9" t="s">
        <v>137</v>
      </c>
      <c r="B21" s="10" t="s">
        <v>57</v>
      </c>
      <c r="C21" s="11" t="s">
        <v>138</v>
      </c>
      <c r="D21" s="10" t="s">
        <v>59</v>
      </c>
      <c r="E21" s="10" t="s">
        <v>71</v>
      </c>
      <c r="F21" s="10" t="s">
        <v>71</v>
      </c>
      <c r="G21" s="10" t="s">
        <v>71</v>
      </c>
      <c r="H21" s="10" t="s">
        <v>71</v>
      </c>
      <c r="I21" s="10" t="s">
        <v>71</v>
      </c>
      <c r="J21" s="10" t="s">
        <v>111</v>
      </c>
      <c r="K21" s="10" t="s">
        <v>73</v>
      </c>
      <c r="L21" s="10" t="s">
        <v>60</v>
      </c>
      <c r="M21" s="11" t="s">
        <v>139</v>
      </c>
      <c r="N21" s="12" t="s">
        <v>67</v>
      </c>
      <c r="O21" s="8" t="s">
        <v>75</v>
      </c>
    </row>
    <row r="22" ht="49.5" customHeight="1">
      <c r="A22" s="4" t="s">
        <v>140</v>
      </c>
      <c r="B22" s="5" t="s">
        <v>57</v>
      </c>
      <c r="C22" s="6" t="s">
        <v>141</v>
      </c>
      <c r="D22" s="5" t="s">
        <v>59</v>
      </c>
      <c r="E22" s="5" t="s">
        <v>71</v>
      </c>
      <c r="F22" s="5" t="s">
        <v>71</v>
      </c>
      <c r="G22" s="5" t="s">
        <v>71</v>
      </c>
      <c r="H22" s="5" t="s">
        <v>71</v>
      </c>
      <c r="I22" s="5" t="s">
        <v>71</v>
      </c>
      <c r="J22" s="5" t="s">
        <v>72</v>
      </c>
      <c r="K22" s="5" t="s">
        <v>73</v>
      </c>
      <c r="L22" s="5" t="s">
        <v>60</v>
      </c>
      <c r="M22" s="6" t="s">
        <v>142</v>
      </c>
      <c r="N22" s="7" t="s">
        <v>67</v>
      </c>
      <c r="O22" s="8" t="s">
        <v>75</v>
      </c>
    </row>
    <row r="23" ht="49.5" customHeight="1">
      <c r="A23" s="9" t="s">
        <v>143</v>
      </c>
      <c r="B23" s="10" t="s">
        <v>86</v>
      </c>
      <c r="C23" s="11" t="s">
        <v>144</v>
      </c>
      <c r="D23" s="10" t="s">
        <v>88</v>
      </c>
      <c r="E23" s="10" t="s">
        <v>65</v>
      </c>
      <c r="F23" s="10" t="s">
        <v>62</v>
      </c>
      <c r="G23" s="10" t="s">
        <v>62</v>
      </c>
      <c r="H23" s="10" t="s">
        <v>62</v>
      </c>
      <c r="I23" s="10" t="s">
        <v>62</v>
      </c>
      <c r="J23" s="10" t="s">
        <v>68</v>
      </c>
      <c r="K23" s="10" t="s">
        <v>64</v>
      </c>
      <c r="L23" s="10" t="s">
        <v>65</v>
      </c>
      <c r="M23" s="11" t="s">
        <v>145</v>
      </c>
      <c r="N23" s="12" t="s">
        <v>67</v>
      </c>
      <c r="O23" s="8" t="s">
        <v>68</v>
      </c>
    </row>
    <row r="24" ht="49.5" customHeight="1">
      <c r="A24" s="4" t="s">
        <v>146</v>
      </c>
      <c r="B24" s="5" t="s">
        <v>77</v>
      </c>
      <c r="C24" s="6" t="s">
        <v>147</v>
      </c>
      <c r="D24" s="5" t="s">
        <v>59</v>
      </c>
      <c r="E24" s="5" t="s">
        <v>60</v>
      </c>
      <c r="F24" s="5" t="s">
        <v>61</v>
      </c>
      <c r="G24" s="5" t="s">
        <v>61</v>
      </c>
      <c r="H24" s="5" t="s">
        <v>62</v>
      </c>
      <c r="I24" s="5" t="s">
        <v>62</v>
      </c>
      <c r="J24" s="5" t="s">
        <v>63</v>
      </c>
      <c r="K24" s="5" t="s">
        <v>64</v>
      </c>
      <c r="L24" s="5" t="s">
        <v>65</v>
      </c>
      <c r="M24" s="6" t="s">
        <v>148</v>
      </c>
      <c r="N24" s="7" t="s">
        <v>67</v>
      </c>
      <c r="O24" s="8" t="s">
        <v>68</v>
      </c>
    </row>
    <row r="25" ht="49.5" customHeight="1">
      <c r="A25" s="9" t="s">
        <v>149</v>
      </c>
      <c r="B25" s="10" t="s">
        <v>57</v>
      </c>
      <c r="C25" s="11" t="s">
        <v>150</v>
      </c>
      <c r="D25" s="10" t="s">
        <v>59</v>
      </c>
      <c r="E25" s="10" t="s">
        <v>71</v>
      </c>
      <c r="F25" s="10" t="s">
        <v>71</v>
      </c>
      <c r="G25" s="10" t="s">
        <v>71</v>
      </c>
      <c r="H25" s="10" t="s">
        <v>71</v>
      </c>
      <c r="I25" s="10" t="s">
        <v>71</v>
      </c>
      <c r="J25" s="10" t="s">
        <v>71</v>
      </c>
      <c r="K25" s="10" t="s">
        <v>73</v>
      </c>
      <c r="L25" s="10" t="s">
        <v>60</v>
      </c>
      <c r="M25" s="11" t="s">
        <v>151</v>
      </c>
      <c r="N25" s="12" t="s">
        <v>67</v>
      </c>
      <c r="O25" s="8" t="s">
        <v>75</v>
      </c>
    </row>
    <row r="26" ht="49.5" customHeight="1">
      <c r="A26" s="4" t="s">
        <v>152</v>
      </c>
      <c r="B26" s="5" t="s">
        <v>57</v>
      </c>
      <c r="C26" s="6" t="s">
        <v>153</v>
      </c>
      <c r="D26" s="5" t="s">
        <v>59</v>
      </c>
      <c r="E26" s="5" t="s">
        <v>65</v>
      </c>
      <c r="F26" s="5" t="s">
        <v>62</v>
      </c>
      <c r="G26" s="5" t="s">
        <v>62</v>
      </c>
      <c r="H26" s="5" t="s">
        <v>62</v>
      </c>
      <c r="I26" s="5" t="s">
        <v>62</v>
      </c>
      <c r="J26" s="5" t="s">
        <v>68</v>
      </c>
      <c r="K26" s="5" t="s">
        <v>64</v>
      </c>
      <c r="L26" s="5" t="s">
        <v>65</v>
      </c>
      <c r="M26" s="6" t="s">
        <v>154</v>
      </c>
      <c r="N26" s="7" t="s">
        <v>67</v>
      </c>
      <c r="O26" s="8" t="s">
        <v>68</v>
      </c>
    </row>
    <row r="27" ht="49.5" customHeight="1">
      <c r="A27" s="9" t="s">
        <v>155</v>
      </c>
      <c r="B27" s="10" t="s">
        <v>156</v>
      </c>
      <c r="C27" s="11" t="s">
        <v>157</v>
      </c>
      <c r="D27" s="10" t="s">
        <v>59</v>
      </c>
      <c r="E27" s="10" t="s">
        <v>71</v>
      </c>
      <c r="F27" s="10" t="s">
        <v>71</v>
      </c>
      <c r="G27" s="10" t="s">
        <v>62</v>
      </c>
      <c r="H27" s="10" t="s">
        <v>61</v>
      </c>
      <c r="I27" s="10" t="s">
        <v>62</v>
      </c>
      <c r="J27" s="10" t="s">
        <v>68</v>
      </c>
      <c r="K27" s="10" t="s">
        <v>131</v>
      </c>
      <c r="L27" s="10" t="s">
        <v>65</v>
      </c>
      <c r="M27" s="11" t="s">
        <v>158</v>
      </c>
      <c r="N27" s="12" t="s">
        <v>67</v>
      </c>
      <c r="O27" s="8" t="s">
        <v>68</v>
      </c>
    </row>
    <row r="28" ht="49.5" customHeight="1">
      <c r="A28" s="4" t="s">
        <v>159</v>
      </c>
      <c r="B28" s="5" t="s">
        <v>57</v>
      </c>
      <c r="C28" s="6" t="s">
        <v>160</v>
      </c>
      <c r="D28" s="5" t="s">
        <v>88</v>
      </c>
      <c r="E28" s="5" t="s">
        <v>65</v>
      </c>
      <c r="F28" s="5" t="s">
        <v>62</v>
      </c>
      <c r="G28" s="5" t="s">
        <v>62</v>
      </c>
      <c r="H28" s="5" t="s">
        <v>62</v>
      </c>
      <c r="I28" s="5" t="s">
        <v>62</v>
      </c>
      <c r="J28" s="5" t="s">
        <v>68</v>
      </c>
      <c r="K28" s="5" t="s">
        <v>64</v>
      </c>
      <c r="L28" s="5" t="s">
        <v>65</v>
      </c>
      <c r="M28" s="6" t="s">
        <v>161</v>
      </c>
      <c r="N28" s="7" t="s">
        <v>67</v>
      </c>
      <c r="O28" s="8" t="s">
        <v>68</v>
      </c>
    </row>
    <row r="29" ht="49.5" customHeight="1">
      <c r="A29" s="9" t="s">
        <v>162</v>
      </c>
      <c r="B29" s="10" t="s">
        <v>82</v>
      </c>
      <c r="C29" s="11" t="s">
        <v>163</v>
      </c>
      <c r="D29" s="10" t="s">
        <v>59</v>
      </c>
      <c r="E29" s="10" t="s">
        <v>60</v>
      </c>
      <c r="F29" s="10" t="s">
        <v>61</v>
      </c>
      <c r="G29" s="10" t="s">
        <v>61</v>
      </c>
      <c r="H29" s="10" t="s">
        <v>62</v>
      </c>
      <c r="I29" s="10" t="s">
        <v>62</v>
      </c>
      <c r="J29" s="10" t="s">
        <v>63</v>
      </c>
      <c r="K29" s="10" t="s">
        <v>64</v>
      </c>
      <c r="L29" s="10" t="s">
        <v>65</v>
      </c>
      <c r="M29" s="11" t="s">
        <v>164</v>
      </c>
      <c r="N29" s="12" t="s">
        <v>67</v>
      </c>
      <c r="O29" s="8" t="s">
        <v>68</v>
      </c>
    </row>
    <row r="30" ht="49.5" customHeight="1">
      <c r="A30" s="4" t="s">
        <v>165</v>
      </c>
      <c r="B30" s="5" t="s">
        <v>77</v>
      </c>
      <c r="C30" s="6" t="s">
        <v>166</v>
      </c>
      <c r="D30" s="5" t="s">
        <v>59</v>
      </c>
      <c r="E30" s="5" t="s">
        <v>60</v>
      </c>
      <c r="F30" s="5" t="s">
        <v>61</v>
      </c>
      <c r="G30" s="5" t="s">
        <v>62</v>
      </c>
      <c r="H30" s="5" t="s">
        <v>62</v>
      </c>
      <c r="I30" s="5" t="s">
        <v>62</v>
      </c>
      <c r="J30" s="5" t="s">
        <v>63</v>
      </c>
      <c r="K30" s="5" t="s">
        <v>64</v>
      </c>
      <c r="L30" s="5" t="s">
        <v>65</v>
      </c>
      <c r="M30" s="6" t="s">
        <v>167</v>
      </c>
      <c r="N30" s="7" t="s">
        <v>67</v>
      </c>
      <c r="O30" s="8" t="s">
        <v>68</v>
      </c>
    </row>
    <row r="31" ht="49.5" customHeight="1">
      <c r="A31" s="9" t="s">
        <v>168</v>
      </c>
      <c r="B31" s="10" t="s">
        <v>100</v>
      </c>
      <c r="C31" s="11" t="s">
        <v>169</v>
      </c>
      <c r="D31" s="10" t="s">
        <v>59</v>
      </c>
      <c r="E31" s="10" t="s">
        <v>71</v>
      </c>
      <c r="F31" s="10" t="s">
        <v>71</v>
      </c>
      <c r="G31" s="10" t="s">
        <v>71</v>
      </c>
      <c r="H31" s="10" t="s">
        <v>71</v>
      </c>
      <c r="I31" s="10" t="s">
        <v>71</v>
      </c>
      <c r="J31" s="10" t="s">
        <v>71</v>
      </c>
      <c r="K31" s="10" t="s">
        <v>73</v>
      </c>
      <c r="L31" s="10" t="s">
        <v>60</v>
      </c>
      <c r="M31" s="11" t="s">
        <v>170</v>
      </c>
      <c r="N31" s="12" t="s">
        <v>80</v>
      </c>
      <c r="O31" s="8" t="s">
        <v>75</v>
      </c>
    </row>
    <row r="32" ht="15.75" customHeight="1">
      <c r="C32" s="13"/>
    </row>
    <row r="33" ht="15.75" customHeight="1">
      <c r="C33" s="13"/>
    </row>
    <row r="34" ht="15.75" customHeight="1">
      <c r="C34" s="13"/>
    </row>
    <row r="35" ht="15.75" customHeight="1">
      <c r="C35" s="13"/>
    </row>
    <row r="36" ht="15.75" customHeight="1">
      <c r="C36" s="13"/>
    </row>
    <row r="37" ht="15.75" customHeight="1">
      <c r="C37" s="13"/>
    </row>
    <row r="38" ht="15.75" customHeight="1">
      <c r="C38" s="13"/>
    </row>
    <row r="39" ht="15.75" customHeight="1">
      <c r="C39" s="13"/>
    </row>
    <row r="40" ht="15.75" customHeight="1">
      <c r="C40" s="13"/>
    </row>
    <row r="41" ht="15.75" customHeight="1">
      <c r="C41" s="13"/>
    </row>
    <row r="42" ht="15.75" customHeight="1">
      <c r="C42" s="13"/>
    </row>
    <row r="43" ht="15.75" customHeight="1">
      <c r="C43" s="13"/>
    </row>
    <row r="44" ht="15.75" customHeight="1">
      <c r="C44" s="13"/>
    </row>
    <row r="45" ht="15.75" customHeight="1">
      <c r="C45" s="13"/>
    </row>
    <row r="46" ht="15.75" customHeight="1">
      <c r="C46" s="13"/>
    </row>
    <row r="47" ht="15.75" customHeight="1">
      <c r="C47" s="13"/>
    </row>
    <row r="48" ht="15.75" customHeight="1">
      <c r="C48" s="13"/>
    </row>
    <row r="49" ht="15.75" customHeight="1">
      <c r="C49" s="13"/>
    </row>
    <row r="50" ht="15.75" customHeight="1">
      <c r="C50" s="13"/>
    </row>
    <row r="51" ht="15.75" customHeight="1">
      <c r="C51" s="13"/>
    </row>
    <row r="52" ht="15.75" customHeight="1">
      <c r="C52" s="13"/>
    </row>
    <row r="53" ht="15.75" customHeight="1">
      <c r="C53" s="13"/>
    </row>
    <row r="54" ht="15.75" customHeight="1">
      <c r="C54" s="13"/>
    </row>
    <row r="55" ht="15.75" customHeight="1">
      <c r="C55" s="13"/>
    </row>
    <row r="56" ht="15.75" customHeight="1">
      <c r="C56" s="13"/>
    </row>
    <row r="57" ht="15.75" customHeight="1">
      <c r="C57" s="13"/>
    </row>
    <row r="58" ht="15.75" customHeight="1">
      <c r="C58" s="13"/>
    </row>
    <row r="59" ht="15.75" customHeight="1">
      <c r="C59" s="13"/>
    </row>
    <row r="60" ht="15.75" customHeight="1">
      <c r="C60" s="13"/>
    </row>
    <row r="61" ht="15.75" customHeight="1">
      <c r="C61" s="13"/>
    </row>
    <row r="62" ht="15.75" customHeight="1">
      <c r="C62" s="13"/>
    </row>
    <row r="63" ht="15.75" customHeight="1">
      <c r="C63" s="13"/>
    </row>
    <row r="64" ht="15.75" customHeight="1">
      <c r="C64" s="13"/>
    </row>
    <row r="65" ht="15.75" customHeight="1">
      <c r="C65" s="13"/>
    </row>
    <row r="66" ht="15.75" customHeight="1">
      <c r="C66" s="13"/>
    </row>
    <row r="67" ht="15.75" customHeight="1">
      <c r="C67" s="13"/>
    </row>
    <row r="68" ht="15.75" customHeight="1">
      <c r="C68" s="13"/>
    </row>
    <row r="69" ht="15.75" customHeight="1">
      <c r="C69" s="13"/>
    </row>
    <row r="70" ht="15.75" customHeight="1">
      <c r="C70" s="13"/>
    </row>
    <row r="71" ht="15.75" customHeight="1">
      <c r="C71" s="13"/>
    </row>
    <row r="72" ht="15.75" customHeight="1">
      <c r="C72" s="13"/>
    </row>
    <row r="73" ht="15.75" customHeight="1">
      <c r="C73" s="13"/>
    </row>
    <row r="74" ht="15.75" customHeight="1">
      <c r="C74" s="13"/>
    </row>
    <row r="75" ht="15.75" customHeight="1">
      <c r="C75" s="13"/>
    </row>
    <row r="76" ht="15.75" customHeight="1">
      <c r="C76" s="13"/>
    </row>
    <row r="77" ht="15.75" customHeight="1">
      <c r="C77" s="13"/>
    </row>
    <row r="78" ht="15.75" customHeight="1">
      <c r="C78" s="13"/>
    </row>
    <row r="79" ht="15.75" customHeight="1">
      <c r="C79" s="13"/>
    </row>
    <row r="80" ht="15.75" customHeight="1">
      <c r="C80" s="13"/>
    </row>
    <row r="81" ht="15.75" customHeight="1">
      <c r="C81" s="13"/>
    </row>
    <row r="82" ht="15.75" customHeight="1">
      <c r="C82" s="13"/>
    </row>
    <row r="83" ht="15.75" customHeight="1">
      <c r="C83" s="13"/>
    </row>
    <row r="84" ht="15.75" customHeight="1">
      <c r="C84" s="13"/>
    </row>
    <row r="85" ht="15.75" customHeight="1">
      <c r="C85" s="13"/>
    </row>
    <row r="86" ht="15.75" customHeight="1">
      <c r="C86" s="13"/>
    </row>
    <row r="87" ht="15.75" customHeight="1">
      <c r="C87" s="13"/>
    </row>
    <row r="88" ht="15.75" customHeight="1">
      <c r="C88" s="13"/>
    </row>
    <row r="89" ht="15.75" customHeight="1">
      <c r="C89" s="13"/>
    </row>
    <row r="90" ht="15.75" customHeight="1">
      <c r="C90" s="13"/>
    </row>
    <row r="91" ht="15.75" customHeight="1">
      <c r="C91" s="13"/>
    </row>
    <row r="92" ht="15.75" customHeight="1">
      <c r="C92" s="13"/>
    </row>
    <row r="93" ht="15.75" customHeight="1">
      <c r="C93" s="13"/>
    </row>
    <row r="94" ht="15.75" customHeight="1">
      <c r="C94" s="13"/>
    </row>
    <row r="95" ht="15.75" customHeight="1">
      <c r="C95" s="13"/>
    </row>
    <row r="96" ht="15.75" customHeight="1">
      <c r="C96" s="13"/>
    </row>
    <row r="97" ht="15.75" customHeight="1">
      <c r="C97" s="13"/>
    </row>
    <row r="98" ht="15.75" customHeight="1">
      <c r="C98" s="13"/>
    </row>
    <row r="99" ht="15.75" customHeight="1">
      <c r="C99" s="13"/>
    </row>
    <row r="100" ht="15.75" customHeight="1">
      <c r="C100" s="13"/>
    </row>
    <row r="101" ht="15.75" customHeight="1">
      <c r="C101" s="13"/>
    </row>
    <row r="102" ht="15.75" customHeight="1">
      <c r="C102" s="13"/>
    </row>
    <row r="103" ht="15.75" customHeight="1">
      <c r="C103" s="13"/>
    </row>
    <row r="104" ht="15.75" customHeight="1">
      <c r="C104" s="13"/>
    </row>
    <row r="105" ht="15.75" customHeight="1">
      <c r="C105" s="13"/>
    </row>
    <row r="106" ht="15.75" customHeight="1">
      <c r="C106" s="13"/>
    </row>
    <row r="107" ht="15.75" customHeight="1">
      <c r="C107" s="13"/>
    </row>
    <row r="108" ht="15.75" customHeight="1">
      <c r="C108" s="13"/>
    </row>
    <row r="109" ht="15.75" customHeight="1">
      <c r="C109" s="13"/>
    </row>
    <row r="110" ht="15.75" customHeight="1">
      <c r="C110" s="13"/>
    </row>
    <row r="111" ht="15.75" customHeight="1">
      <c r="C111" s="13"/>
    </row>
    <row r="112" ht="15.75" customHeight="1">
      <c r="C112" s="13"/>
    </row>
    <row r="113" ht="15.75" customHeight="1">
      <c r="C113" s="13"/>
    </row>
    <row r="114" ht="15.75" customHeight="1">
      <c r="C114" s="13"/>
    </row>
    <row r="115" ht="15.75" customHeight="1">
      <c r="C115" s="13"/>
    </row>
    <row r="116" ht="15.75" customHeight="1">
      <c r="C116" s="13"/>
    </row>
    <row r="117" ht="15.75" customHeight="1">
      <c r="C117" s="13"/>
    </row>
    <row r="118" ht="15.75" customHeight="1">
      <c r="C118" s="13"/>
    </row>
    <row r="119" ht="15.75" customHeight="1">
      <c r="C119" s="13"/>
    </row>
    <row r="120" ht="15.75" customHeight="1">
      <c r="C120" s="13"/>
    </row>
    <row r="121" ht="15.75" customHeight="1">
      <c r="C121" s="13"/>
    </row>
    <row r="122" ht="15.75" customHeight="1">
      <c r="C122" s="13"/>
    </row>
    <row r="123" ht="15.75" customHeight="1">
      <c r="C123" s="13"/>
    </row>
    <row r="124" ht="15.75" customHeight="1">
      <c r="C124" s="13"/>
    </row>
    <row r="125" ht="15.75" customHeight="1">
      <c r="C125" s="13"/>
    </row>
    <row r="126" ht="15.75" customHeight="1">
      <c r="C126" s="13"/>
    </row>
    <row r="127" ht="15.75" customHeight="1">
      <c r="C127" s="13"/>
    </row>
    <row r="128" ht="15.75" customHeight="1">
      <c r="C128" s="13"/>
    </row>
    <row r="129" ht="15.75" customHeight="1">
      <c r="C129" s="13"/>
    </row>
    <row r="130" ht="15.75" customHeight="1">
      <c r="C130" s="13"/>
    </row>
    <row r="131" ht="15.75" customHeight="1">
      <c r="C131" s="13"/>
    </row>
    <row r="132" ht="15.75" customHeight="1">
      <c r="C132" s="13"/>
    </row>
    <row r="133" ht="15.75" customHeight="1">
      <c r="C133" s="13"/>
    </row>
    <row r="134" ht="15.75" customHeight="1">
      <c r="C134" s="13"/>
    </row>
    <row r="135" ht="15.75" customHeight="1">
      <c r="C135" s="13"/>
    </row>
    <row r="136" ht="15.75" customHeight="1">
      <c r="C136" s="13"/>
    </row>
    <row r="137" ht="15.75" customHeight="1">
      <c r="C137" s="13"/>
    </row>
    <row r="138" ht="15.75" customHeight="1">
      <c r="C138" s="13"/>
    </row>
    <row r="139" ht="15.75" customHeight="1">
      <c r="C139" s="13"/>
    </row>
    <row r="140" ht="15.75" customHeight="1">
      <c r="C140" s="13"/>
    </row>
    <row r="141" ht="15.75" customHeight="1">
      <c r="C141" s="13"/>
    </row>
    <row r="142" ht="15.75" customHeight="1">
      <c r="C142" s="13"/>
    </row>
    <row r="143" ht="15.75" customHeight="1">
      <c r="C143" s="13"/>
    </row>
    <row r="144" ht="15.75" customHeight="1">
      <c r="C144" s="13"/>
    </row>
    <row r="145" ht="15.75" customHeight="1">
      <c r="C145" s="13"/>
    </row>
    <row r="146" ht="15.75" customHeight="1">
      <c r="C146" s="13"/>
    </row>
    <row r="147" ht="15.75" customHeight="1">
      <c r="C147" s="13"/>
    </row>
    <row r="148" ht="15.75" customHeight="1">
      <c r="C148" s="13"/>
    </row>
    <row r="149" ht="15.75" customHeight="1">
      <c r="C149" s="13"/>
    </row>
    <row r="150" ht="15.75" customHeight="1">
      <c r="C150" s="13"/>
    </row>
    <row r="151" ht="15.75" customHeight="1">
      <c r="C151" s="13"/>
    </row>
    <row r="152" ht="15.75" customHeight="1">
      <c r="C152" s="13"/>
    </row>
    <row r="153" ht="15.75" customHeight="1">
      <c r="C153" s="13"/>
    </row>
    <row r="154" ht="15.75" customHeight="1">
      <c r="C154" s="13"/>
    </row>
    <row r="155" ht="15.75" customHeight="1">
      <c r="C155" s="13"/>
    </row>
    <row r="156" ht="15.75" customHeight="1">
      <c r="C156" s="13"/>
    </row>
    <row r="157" ht="15.75" customHeight="1">
      <c r="C157" s="13"/>
    </row>
    <row r="158" ht="15.75" customHeight="1">
      <c r="C158" s="13"/>
    </row>
    <row r="159" ht="15.75" customHeight="1">
      <c r="C159" s="13"/>
    </row>
    <row r="160" ht="15.75" customHeight="1">
      <c r="C160" s="13"/>
    </row>
    <row r="161" ht="15.75" customHeight="1">
      <c r="C161" s="13"/>
    </row>
    <row r="162" ht="15.75" customHeight="1">
      <c r="C162" s="13"/>
    </row>
    <row r="163" ht="15.75" customHeight="1">
      <c r="C163" s="13"/>
    </row>
    <row r="164" ht="15.75" customHeight="1">
      <c r="C164" s="13"/>
    </row>
    <row r="165" ht="15.75" customHeight="1">
      <c r="C165" s="13"/>
    </row>
    <row r="166" ht="15.75" customHeight="1">
      <c r="C166" s="13"/>
    </row>
    <row r="167" ht="15.75" customHeight="1">
      <c r="C167" s="13"/>
    </row>
    <row r="168" ht="15.75" customHeight="1">
      <c r="C168" s="13"/>
    </row>
    <row r="169" ht="15.75" customHeight="1">
      <c r="C169" s="13"/>
    </row>
    <row r="170" ht="15.75" customHeight="1">
      <c r="C170" s="13"/>
    </row>
    <row r="171" ht="15.75" customHeight="1">
      <c r="C171" s="13"/>
    </row>
    <row r="172" ht="15.75" customHeight="1">
      <c r="C172" s="13"/>
    </row>
    <row r="173" ht="15.75" customHeight="1">
      <c r="C173" s="13"/>
    </row>
    <row r="174" ht="15.75" customHeight="1">
      <c r="C174" s="13"/>
    </row>
    <row r="175" ht="15.75" customHeight="1">
      <c r="C175" s="13"/>
    </row>
    <row r="176" ht="15.75" customHeight="1">
      <c r="C176" s="13"/>
    </row>
    <row r="177" ht="15.75" customHeight="1">
      <c r="C177" s="13"/>
    </row>
    <row r="178" ht="15.75" customHeight="1">
      <c r="C178" s="13"/>
    </row>
    <row r="179" ht="15.75" customHeight="1">
      <c r="C179" s="13"/>
    </row>
    <row r="180" ht="15.75" customHeight="1">
      <c r="C180" s="13"/>
    </row>
    <row r="181" ht="15.75" customHeight="1">
      <c r="C181" s="13"/>
    </row>
    <row r="182" ht="15.75" customHeight="1">
      <c r="C182" s="13"/>
    </row>
    <row r="183" ht="15.75" customHeight="1">
      <c r="C183" s="13"/>
    </row>
    <row r="184" ht="15.75" customHeight="1">
      <c r="C184" s="13"/>
    </row>
    <row r="185" ht="15.75" customHeight="1">
      <c r="C185" s="13"/>
    </row>
    <row r="186" ht="15.75" customHeight="1">
      <c r="C186" s="13"/>
    </row>
    <row r="187" ht="15.75" customHeight="1">
      <c r="C187" s="13"/>
    </row>
    <row r="188" ht="15.75" customHeight="1">
      <c r="C188" s="13"/>
    </row>
    <row r="189" ht="15.75" customHeight="1">
      <c r="C189" s="13"/>
    </row>
    <row r="190" ht="15.75" customHeight="1">
      <c r="C190" s="13"/>
    </row>
    <row r="191" ht="15.75" customHeight="1">
      <c r="C191" s="13"/>
    </row>
    <row r="192" ht="15.75" customHeight="1">
      <c r="C192" s="13"/>
    </row>
    <row r="193" ht="15.75" customHeight="1">
      <c r="C193" s="13"/>
    </row>
    <row r="194" ht="15.75" customHeight="1">
      <c r="C194" s="13"/>
    </row>
    <row r="195" ht="15.75" customHeight="1">
      <c r="C195" s="13"/>
    </row>
    <row r="196" ht="15.75" customHeight="1">
      <c r="C196" s="13"/>
    </row>
    <row r="197" ht="15.75" customHeight="1">
      <c r="C197" s="13"/>
    </row>
    <row r="198" ht="15.75" customHeight="1">
      <c r="C198" s="13"/>
    </row>
    <row r="199" ht="15.75" customHeight="1">
      <c r="C199" s="13"/>
    </row>
    <row r="200" ht="15.75" customHeight="1">
      <c r="C200" s="13"/>
    </row>
    <row r="201" ht="15.75" customHeight="1">
      <c r="C201" s="13"/>
    </row>
    <row r="202" ht="15.75" customHeight="1">
      <c r="C202" s="13"/>
    </row>
    <row r="203" ht="15.75" customHeight="1">
      <c r="C203" s="13"/>
    </row>
    <row r="204" ht="15.75" customHeight="1">
      <c r="C204" s="13"/>
    </row>
    <row r="205" ht="15.75" customHeight="1">
      <c r="C205" s="13"/>
    </row>
    <row r="206" ht="15.75" customHeight="1">
      <c r="C206" s="13"/>
    </row>
    <row r="207" ht="15.75" customHeight="1">
      <c r="C207" s="13"/>
    </row>
    <row r="208" ht="15.75" customHeight="1">
      <c r="C208" s="13"/>
    </row>
    <row r="209" ht="15.75" customHeight="1">
      <c r="C209" s="13"/>
    </row>
    <row r="210" ht="15.75" customHeight="1">
      <c r="C210" s="13"/>
    </row>
    <row r="211" ht="15.75" customHeight="1">
      <c r="C211" s="13"/>
    </row>
    <row r="212" ht="15.75" customHeight="1">
      <c r="C212" s="13"/>
    </row>
    <row r="213" ht="15.75" customHeight="1">
      <c r="C213" s="13"/>
    </row>
    <row r="214" ht="15.75" customHeight="1">
      <c r="C214" s="13"/>
    </row>
    <row r="215" ht="15.75" customHeight="1">
      <c r="C215" s="13"/>
    </row>
    <row r="216" ht="15.75" customHeight="1">
      <c r="C216" s="13"/>
    </row>
    <row r="217" ht="15.75" customHeight="1">
      <c r="C217" s="13"/>
    </row>
    <row r="218" ht="15.75" customHeight="1">
      <c r="C218" s="13"/>
    </row>
    <row r="219" ht="15.75" customHeight="1">
      <c r="C219" s="13"/>
    </row>
    <row r="220" ht="15.75" customHeight="1">
      <c r="C220" s="13"/>
    </row>
    <row r="221" ht="15.75" customHeight="1">
      <c r="C221" s="13"/>
    </row>
    <row r="222" ht="15.75" customHeight="1">
      <c r="C222" s="13"/>
    </row>
    <row r="223" ht="15.75" customHeight="1">
      <c r="C223" s="13"/>
    </row>
    <row r="224" ht="15.75" customHeight="1">
      <c r="C224" s="13"/>
    </row>
    <row r="225" ht="15.75" customHeight="1">
      <c r="C225" s="13"/>
    </row>
    <row r="226" ht="15.75" customHeight="1">
      <c r="C226" s="13"/>
    </row>
    <row r="227" ht="15.75" customHeight="1">
      <c r="C227" s="13"/>
    </row>
    <row r="228" ht="15.75" customHeight="1">
      <c r="C228" s="13"/>
    </row>
    <row r="229" ht="15.75" customHeight="1">
      <c r="C229" s="13"/>
    </row>
    <row r="230" ht="15.75" customHeight="1">
      <c r="C230" s="13"/>
    </row>
    <row r="231" ht="15.75" customHeight="1">
      <c r="C231" s="13"/>
    </row>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K2:K31">
      <formula1>"High,Low,Medium"</formula1>
    </dataValidation>
    <dataValidation type="list" allowBlank="1" showErrorMessage="1" sqref="F2:I31">
      <formula1>"Absent,Present,Unclear"</formula1>
    </dataValidation>
    <dataValidation type="list" allowBlank="1" showErrorMessage="1" sqref="N2:N31">
      <formula1>"Pending,Completed (self-review)"</formula1>
    </dataValidation>
    <dataValidation type="list" allowBlank="1" showErrorMessage="1" sqref="D2:D31">
      <formula1>"Not Relevant,Relevant,Unclear"</formula1>
    </dataValidation>
    <dataValidation type="list" allowBlank="1" showErrorMessage="1" sqref="E2:E31">
      <formula1>"No,Unclear,Yes"</formula1>
    </dataValidation>
    <dataValidation type="list" allowBlank="1" sqref="O2:O31">
      <formula1>"Yes,No,Unknown,Not Applicable"</formula1>
    </dataValidation>
    <dataValidation type="list" allowBlank="1" showErrorMessage="1" sqref="L2:L31">
      <formula1>"No,Yes"</formula1>
    </dataValidation>
    <dataValidation type="list" allowBlank="1" sqref="J2:J31">
      <formula1>"Internal Only,External Transmission Indicated,Unclear,Potential External Disclosure,Blocked Before Delivery,Not Applicable"</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7.63"/>
    <col customWidth="1" min="2" max="2" width="22.13"/>
    <col customWidth="1" min="3" max="3" width="21.88"/>
    <col customWidth="1" min="4" max="5" width="37.63"/>
    <col customWidth="1" min="6" max="6" width="20.38"/>
  </cols>
  <sheetData>
    <row r="1" ht="15.75" customHeight="1">
      <c r="A1" s="14" t="s">
        <v>0</v>
      </c>
      <c r="B1" s="15"/>
      <c r="C1" s="15"/>
      <c r="D1" s="15"/>
      <c r="E1" s="15"/>
      <c r="F1" s="15"/>
      <c r="G1" s="15"/>
      <c r="H1" s="15"/>
      <c r="I1" s="15"/>
      <c r="J1" s="15"/>
      <c r="K1" s="15"/>
      <c r="L1" s="15"/>
      <c r="M1" s="15"/>
      <c r="N1" s="15"/>
      <c r="O1" s="15"/>
      <c r="P1" s="15"/>
      <c r="Q1" s="15"/>
      <c r="R1" s="15"/>
      <c r="S1" s="15"/>
      <c r="T1" s="15"/>
      <c r="U1" s="15"/>
      <c r="V1" s="15"/>
      <c r="W1" s="15"/>
      <c r="X1" s="15"/>
      <c r="Y1" s="15"/>
      <c r="Z1" s="15"/>
    </row>
    <row r="2" ht="15.75" customHeight="1">
      <c r="A2" s="16" t="s">
        <v>171</v>
      </c>
      <c r="B2" s="16"/>
      <c r="C2" s="16"/>
      <c r="D2" s="16"/>
      <c r="E2" s="16"/>
      <c r="F2" s="16"/>
      <c r="G2" s="16"/>
      <c r="H2" s="16"/>
      <c r="I2" s="16"/>
      <c r="J2" s="16"/>
      <c r="K2" s="16"/>
      <c r="L2" s="15"/>
      <c r="M2" s="15"/>
      <c r="N2" s="15"/>
      <c r="O2" s="15"/>
      <c r="P2" s="15"/>
      <c r="Q2" s="15"/>
      <c r="R2" s="15"/>
      <c r="S2" s="15"/>
      <c r="T2" s="15"/>
      <c r="U2" s="15"/>
      <c r="V2" s="15"/>
      <c r="W2" s="15"/>
      <c r="X2" s="15"/>
      <c r="Y2" s="15"/>
      <c r="Z2" s="15"/>
    </row>
    <row r="3" ht="15.75" customHeight="1">
      <c r="A3" s="16" t="s">
        <v>172</v>
      </c>
      <c r="B3" s="16"/>
      <c r="C3" s="16"/>
      <c r="D3" s="16"/>
      <c r="E3" s="16"/>
      <c r="F3" s="16"/>
      <c r="G3" s="16"/>
      <c r="H3" s="16"/>
      <c r="I3" s="16"/>
      <c r="J3" s="16"/>
      <c r="K3" s="16"/>
      <c r="L3" s="15"/>
      <c r="M3" s="15"/>
      <c r="N3" s="15"/>
      <c r="O3" s="15"/>
      <c r="P3" s="15"/>
      <c r="Q3" s="15"/>
      <c r="R3" s="15"/>
      <c r="S3" s="15"/>
      <c r="T3" s="15"/>
      <c r="U3" s="15"/>
      <c r="V3" s="15"/>
      <c r="W3" s="15"/>
      <c r="X3" s="15"/>
      <c r="Y3" s="15"/>
      <c r="Z3" s="15"/>
    </row>
    <row r="4" ht="15.75" customHeight="1">
      <c r="A4" s="16" t="s">
        <v>173</v>
      </c>
      <c r="B4" s="16"/>
      <c r="C4" s="16"/>
      <c r="D4" s="16"/>
      <c r="E4" s="16"/>
      <c r="F4" s="16"/>
      <c r="G4" s="16"/>
      <c r="H4" s="16"/>
      <c r="I4" s="16"/>
      <c r="J4" s="16"/>
      <c r="K4" s="16"/>
      <c r="L4" s="15"/>
      <c r="M4" s="15"/>
      <c r="N4" s="15"/>
      <c r="O4" s="15"/>
      <c r="P4" s="15"/>
      <c r="Q4" s="15"/>
      <c r="R4" s="15"/>
      <c r="S4" s="15"/>
      <c r="T4" s="15"/>
      <c r="U4" s="15"/>
      <c r="V4" s="15"/>
      <c r="W4" s="15"/>
      <c r="X4" s="15"/>
      <c r="Y4" s="15"/>
      <c r="Z4" s="15"/>
    </row>
    <row r="5" ht="15.75" customHeight="1">
      <c r="A5" s="16" t="s">
        <v>174</v>
      </c>
      <c r="B5" s="16"/>
      <c r="C5" s="16"/>
      <c r="D5" s="16"/>
      <c r="E5" s="16"/>
      <c r="F5" s="16"/>
      <c r="G5" s="16"/>
      <c r="H5" s="16"/>
      <c r="I5" s="16"/>
      <c r="J5" s="16"/>
      <c r="K5" s="16"/>
      <c r="L5" s="15"/>
      <c r="M5" s="15"/>
      <c r="N5" s="15"/>
      <c r="O5" s="15"/>
      <c r="P5" s="15"/>
      <c r="Q5" s="15"/>
      <c r="R5" s="15"/>
      <c r="S5" s="15"/>
      <c r="T5" s="15"/>
      <c r="U5" s="15"/>
      <c r="V5" s="15"/>
      <c r="W5" s="15"/>
      <c r="X5" s="15"/>
      <c r="Y5" s="15"/>
      <c r="Z5" s="15"/>
    </row>
    <row r="6" ht="15.75" customHeight="1">
      <c r="A6" s="14"/>
      <c r="B6" s="15"/>
      <c r="C6" s="15"/>
      <c r="D6" s="15"/>
      <c r="E6" s="15"/>
      <c r="F6" s="15"/>
      <c r="G6" s="15"/>
      <c r="H6" s="15"/>
      <c r="I6" s="15"/>
      <c r="J6" s="15"/>
      <c r="K6" s="15"/>
      <c r="L6" s="15"/>
      <c r="M6" s="15"/>
      <c r="N6" s="15"/>
      <c r="O6" s="15"/>
      <c r="P6" s="15"/>
      <c r="Q6" s="15"/>
      <c r="R6" s="15"/>
      <c r="S6" s="15"/>
      <c r="T6" s="15"/>
      <c r="U6" s="15"/>
      <c r="V6" s="15"/>
      <c r="W6" s="15"/>
      <c r="X6" s="15"/>
      <c r="Y6" s="15"/>
      <c r="Z6" s="15"/>
    </row>
    <row r="7" ht="15.75" customHeight="1">
      <c r="A7" s="14"/>
      <c r="B7" s="15"/>
      <c r="C7" s="15"/>
      <c r="D7" s="15"/>
      <c r="E7" s="15"/>
      <c r="F7" s="15"/>
      <c r="G7" s="15"/>
      <c r="H7" s="15"/>
      <c r="I7" s="15"/>
      <c r="J7" s="15"/>
      <c r="K7" s="15"/>
      <c r="L7" s="15"/>
      <c r="M7" s="15"/>
      <c r="N7" s="15"/>
      <c r="O7" s="15"/>
      <c r="P7" s="15"/>
      <c r="Q7" s="15"/>
      <c r="R7" s="15"/>
      <c r="S7" s="15"/>
      <c r="T7" s="15"/>
      <c r="U7" s="15"/>
      <c r="V7" s="15"/>
      <c r="W7" s="15"/>
      <c r="X7" s="15"/>
      <c r="Y7" s="15"/>
      <c r="Z7" s="15"/>
    </row>
    <row r="8" ht="22.5" customHeight="1">
      <c r="A8" s="17" t="s">
        <v>175</v>
      </c>
      <c r="B8" s="17" t="s">
        <v>176</v>
      </c>
      <c r="C8" s="17" t="s">
        <v>177</v>
      </c>
      <c r="D8" s="17" t="s">
        <v>178</v>
      </c>
      <c r="E8" s="17" t="s">
        <v>179</v>
      </c>
      <c r="F8" s="17" t="s">
        <v>180</v>
      </c>
      <c r="G8" s="15"/>
      <c r="H8" s="15"/>
      <c r="I8" s="15"/>
      <c r="J8" s="15"/>
      <c r="K8" s="15"/>
      <c r="L8" s="15"/>
      <c r="M8" s="15"/>
      <c r="N8" s="15"/>
      <c r="O8" s="15"/>
      <c r="P8" s="15"/>
      <c r="Q8" s="15"/>
      <c r="R8" s="15"/>
      <c r="S8" s="15"/>
      <c r="T8" s="15"/>
      <c r="U8" s="15"/>
      <c r="V8" s="15"/>
      <c r="W8" s="15"/>
      <c r="X8" s="15"/>
      <c r="Y8" s="15"/>
      <c r="Z8" s="15"/>
    </row>
    <row r="9" ht="22.5" customHeight="1">
      <c r="A9" s="18" t="s">
        <v>181</v>
      </c>
      <c r="B9" s="18"/>
      <c r="C9" s="18"/>
      <c r="D9" s="18"/>
      <c r="E9" s="18"/>
      <c r="F9" s="18"/>
      <c r="G9" s="15"/>
      <c r="H9" s="15"/>
      <c r="I9" s="15"/>
      <c r="J9" s="15"/>
      <c r="K9" s="15"/>
      <c r="L9" s="15"/>
      <c r="M9" s="15"/>
      <c r="N9" s="15"/>
      <c r="O9" s="15"/>
      <c r="P9" s="15"/>
      <c r="Q9" s="15"/>
      <c r="R9" s="15"/>
      <c r="S9" s="15"/>
      <c r="T9" s="15"/>
      <c r="U9" s="15"/>
      <c r="V9" s="15"/>
      <c r="W9" s="15"/>
      <c r="X9" s="15"/>
      <c r="Y9" s="15"/>
      <c r="Z9" s="15"/>
    </row>
    <row r="10" ht="22.5" customHeight="1">
      <c r="A10" s="19">
        <v>0.1</v>
      </c>
      <c r="B10" s="19" t="s">
        <v>182</v>
      </c>
      <c r="C10" s="19" t="s">
        <v>183</v>
      </c>
      <c r="D10" s="20" t="s">
        <v>184</v>
      </c>
      <c r="E10" s="19" t="s">
        <v>185</v>
      </c>
      <c r="F10" s="19" t="s">
        <v>186</v>
      </c>
      <c r="G10" s="15"/>
      <c r="H10" s="15"/>
      <c r="I10" s="15"/>
      <c r="J10" s="15"/>
      <c r="K10" s="15"/>
      <c r="L10" s="15"/>
      <c r="M10" s="15"/>
      <c r="N10" s="15"/>
      <c r="O10" s="15"/>
      <c r="P10" s="15"/>
      <c r="Q10" s="15"/>
      <c r="R10" s="15"/>
      <c r="S10" s="15"/>
      <c r="T10" s="15"/>
      <c r="U10" s="15"/>
      <c r="V10" s="15"/>
      <c r="W10" s="15"/>
      <c r="X10" s="15"/>
      <c r="Y10" s="15"/>
      <c r="Z10" s="15"/>
    </row>
    <row r="11" ht="22.5" customHeight="1">
      <c r="A11" s="19">
        <v>0.2</v>
      </c>
      <c r="B11" s="19" t="s">
        <v>182</v>
      </c>
      <c r="C11" s="19" t="s">
        <v>187</v>
      </c>
      <c r="D11" s="20" t="s">
        <v>188</v>
      </c>
      <c r="E11" s="19" t="s">
        <v>189</v>
      </c>
      <c r="F11" s="19" t="s">
        <v>186</v>
      </c>
      <c r="G11" s="15"/>
      <c r="H11" s="15"/>
      <c r="I11" s="15"/>
      <c r="J11" s="15"/>
      <c r="K11" s="15"/>
      <c r="L11" s="15"/>
      <c r="M11" s="15"/>
      <c r="N11" s="15"/>
      <c r="O11" s="15"/>
      <c r="P11" s="15"/>
      <c r="Q11" s="15"/>
      <c r="R11" s="15"/>
      <c r="S11" s="15"/>
      <c r="T11" s="15"/>
      <c r="U11" s="15"/>
      <c r="V11" s="15"/>
      <c r="W11" s="15"/>
      <c r="X11" s="15"/>
      <c r="Y11" s="15"/>
      <c r="Z11" s="15"/>
    </row>
    <row r="12" ht="22.5" customHeight="1">
      <c r="A12" s="19">
        <v>0.3</v>
      </c>
      <c r="B12" s="19" t="s">
        <v>182</v>
      </c>
      <c r="C12" s="19" t="s">
        <v>190</v>
      </c>
      <c r="D12" s="20" t="s">
        <v>191</v>
      </c>
      <c r="E12" s="19" t="s">
        <v>192</v>
      </c>
      <c r="F12" s="19" t="s">
        <v>186</v>
      </c>
      <c r="G12" s="15"/>
      <c r="H12" s="15"/>
      <c r="I12" s="15"/>
      <c r="J12" s="15"/>
      <c r="K12" s="15"/>
      <c r="L12" s="15"/>
      <c r="M12" s="15"/>
      <c r="N12" s="15"/>
      <c r="O12" s="15"/>
      <c r="P12" s="15"/>
      <c r="Q12" s="15"/>
      <c r="R12" s="15"/>
      <c r="S12" s="15"/>
      <c r="T12" s="15"/>
      <c r="U12" s="15"/>
      <c r="V12" s="15"/>
      <c r="W12" s="15"/>
      <c r="X12" s="15"/>
      <c r="Y12" s="15"/>
      <c r="Z12" s="15"/>
    </row>
    <row r="13" ht="22.5" customHeight="1">
      <c r="A13" s="19">
        <v>0.4</v>
      </c>
      <c r="B13" s="19" t="s">
        <v>182</v>
      </c>
      <c r="C13" s="19" t="s">
        <v>193</v>
      </c>
      <c r="D13" s="20" t="s">
        <v>194</v>
      </c>
      <c r="E13" s="19" t="s">
        <v>195</v>
      </c>
      <c r="F13" s="19" t="s">
        <v>196</v>
      </c>
      <c r="G13" s="15"/>
      <c r="H13" s="15"/>
      <c r="I13" s="15"/>
      <c r="J13" s="15"/>
      <c r="K13" s="15"/>
      <c r="L13" s="15"/>
      <c r="M13" s="15"/>
      <c r="N13" s="15"/>
      <c r="O13" s="15"/>
      <c r="P13" s="15"/>
      <c r="Q13" s="15"/>
      <c r="R13" s="15"/>
      <c r="S13" s="15"/>
      <c r="T13" s="15"/>
      <c r="U13" s="15"/>
      <c r="V13" s="15"/>
      <c r="W13" s="15"/>
      <c r="X13" s="15"/>
      <c r="Y13" s="15"/>
      <c r="Z13" s="15"/>
    </row>
    <row r="14" ht="22.5" customHeight="1">
      <c r="A14" s="19">
        <v>0.5</v>
      </c>
      <c r="B14" s="19" t="s">
        <v>182</v>
      </c>
      <c r="C14" s="19" t="s">
        <v>197</v>
      </c>
      <c r="D14" s="20" t="s">
        <v>198</v>
      </c>
      <c r="E14" s="19" t="s">
        <v>199</v>
      </c>
      <c r="F14" s="19" t="s">
        <v>200</v>
      </c>
      <c r="G14" s="15"/>
      <c r="H14" s="15"/>
      <c r="I14" s="15"/>
      <c r="J14" s="15"/>
      <c r="K14" s="15"/>
      <c r="L14" s="15"/>
      <c r="M14" s="15"/>
      <c r="N14" s="15"/>
      <c r="O14" s="15"/>
      <c r="P14" s="15"/>
      <c r="Q14" s="15"/>
      <c r="R14" s="15"/>
      <c r="S14" s="15"/>
      <c r="T14" s="15"/>
      <c r="U14" s="15"/>
      <c r="V14" s="15"/>
      <c r="W14" s="15"/>
      <c r="X14" s="15"/>
      <c r="Y14" s="15"/>
      <c r="Z14" s="15"/>
    </row>
    <row r="15" ht="22.5" customHeight="1">
      <c r="A15" s="18" t="s">
        <v>201</v>
      </c>
      <c r="B15" s="18"/>
      <c r="C15" s="18"/>
      <c r="D15" s="21"/>
      <c r="E15" s="18"/>
      <c r="F15" s="18"/>
      <c r="G15" s="15"/>
      <c r="H15" s="15"/>
      <c r="I15" s="15"/>
      <c r="J15" s="15"/>
      <c r="K15" s="15"/>
      <c r="L15" s="15"/>
      <c r="M15" s="15"/>
      <c r="N15" s="15"/>
      <c r="O15" s="15"/>
      <c r="P15" s="15"/>
      <c r="Q15" s="15"/>
      <c r="R15" s="15"/>
      <c r="S15" s="15"/>
      <c r="T15" s="15"/>
      <c r="U15" s="15"/>
      <c r="V15" s="15"/>
      <c r="W15" s="15"/>
      <c r="X15" s="15"/>
      <c r="Y15" s="15"/>
      <c r="Z15" s="15"/>
    </row>
    <row r="16" ht="22.5" customHeight="1">
      <c r="A16" s="19">
        <v>1.1</v>
      </c>
      <c r="B16" s="19" t="s">
        <v>43</v>
      </c>
      <c r="C16" s="19" t="s">
        <v>59</v>
      </c>
      <c r="D16" s="20" t="s">
        <v>202</v>
      </c>
      <c r="E16" s="19" t="s">
        <v>203</v>
      </c>
      <c r="F16" s="19" t="s">
        <v>196</v>
      </c>
      <c r="G16" s="15"/>
      <c r="H16" s="15"/>
      <c r="I16" s="15"/>
      <c r="J16" s="15"/>
      <c r="K16" s="15"/>
      <c r="L16" s="15"/>
      <c r="M16" s="15"/>
      <c r="N16" s="15"/>
      <c r="O16" s="15"/>
      <c r="P16" s="15"/>
      <c r="Q16" s="15"/>
      <c r="R16" s="15"/>
      <c r="S16" s="15"/>
      <c r="T16" s="15"/>
      <c r="U16" s="15"/>
      <c r="V16" s="15"/>
      <c r="W16" s="15"/>
      <c r="X16" s="15"/>
      <c r="Y16" s="15"/>
      <c r="Z16" s="15"/>
    </row>
    <row r="17" ht="22.5" customHeight="1">
      <c r="A17" s="19">
        <v>1.2</v>
      </c>
      <c r="B17" s="19" t="s">
        <v>43</v>
      </c>
      <c r="C17" s="19" t="s">
        <v>88</v>
      </c>
      <c r="D17" s="20" t="s">
        <v>204</v>
      </c>
      <c r="E17" s="19" t="s">
        <v>205</v>
      </c>
      <c r="F17" s="19" t="s">
        <v>196</v>
      </c>
      <c r="G17" s="15"/>
      <c r="H17" s="15"/>
      <c r="I17" s="15"/>
      <c r="J17" s="15"/>
      <c r="K17" s="15"/>
      <c r="L17" s="15"/>
      <c r="M17" s="15"/>
      <c r="N17" s="15"/>
      <c r="O17" s="15"/>
      <c r="P17" s="15"/>
      <c r="Q17" s="15"/>
      <c r="R17" s="15"/>
      <c r="S17" s="15"/>
      <c r="T17" s="15"/>
      <c r="U17" s="15"/>
      <c r="V17" s="15"/>
      <c r="W17" s="15"/>
      <c r="X17" s="15"/>
      <c r="Y17" s="15"/>
      <c r="Z17" s="15"/>
    </row>
    <row r="18" ht="22.5" customHeight="1">
      <c r="A18" s="19">
        <v>1.3</v>
      </c>
      <c r="B18" s="19" t="s">
        <v>43</v>
      </c>
      <c r="C18" s="19" t="s">
        <v>71</v>
      </c>
      <c r="D18" s="20" t="s">
        <v>206</v>
      </c>
      <c r="E18" s="19" t="s">
        <v>207</v>
      </c>
      <c r="F18" s="19" t="s">
        <v>196</v>
      </c>
      <c r="G18" s="15"/>
      <c r="H18" s="15"/>
      <c r="I18" s="15"/>
      <c r="J18" s="15"/>
      <c r="K18" s="15"/>
      <c r="L18" s="15"/>
      <c r="M18" s="15"/>
      <c r="N18" s="15"/>
      <c r="O18" s="15"/>
      <c r="P18" s="15"/>
      <c r="Q18" s="15"/>
      <c r="R18" s="15"/>
      <c r="S18" s="15"/>
      <c r="T18" s="15"/>
      <c r="U18" s="15"/>
      <c r="V18" s="15"/>
      <c r="W18" s="15"/>
      <c r="X18" s="15"/>
      <c r="Y18" s="15"/>
      <c r="Z18" s="15"/>
    </row>
    <row r="19" ht="22.5" customHeight="1">
      <c r="A19" s="19">
        <v>1.4</v>
      </c>
      <c r="B19" s="19" t="s">
        <v>43</v>
      </c>
      <c r="C19" s="19" t="s">
        <v>208</v>
      </c>
      <c r="D19" s="20" t="s">
        <v>209</v>
      </c>
      <c r="E19" s="19" t="s">
        <v>210</v>
      </c>
      <c r="F19" s="19" t="s">
        <v>196</v>
      </c>
      <c r="G19" s="15"/>
      <c r="H19" s="15"/>
      <c r="I19" s="15"/>
      <c r="J19" s="15"/>
      <c r="K19" s="15"/>
      <c r="L19" s="15"/>
      <c r="M19" s="15"/>
      <c r="N19" s="15"/>
      <c r="O19" s="15"/>
      <c r="P19" s="15"/>
      <c r="Q19" s="15"/>
      <c r="R19" s="15"/>
      <c r="S19" s="15"/>
      <c r="T19" s="15"/>
      <c r="U19" s="15"/>
      <c r="V19" s="15"/>
      <c r="W19" s="15"/>
      <c r="X19" s="15"/>
      <c r="Y19" s="15"/>
      <c r="Z19" s="15"/>
    </row>
    <row r="20" ht="22.5" customHeight="1">
      <c r="A20" s="19">
        <v>1.5</v>
      </c>
      <c r="B20" s="19" t="s">
        <v>43</v>
      </c>
      <c r="C20" s="19" t="s">
        <v>211</v>
      </c>
      <c r="D20" s="20" t="s">
        <v>212</v>
      </c>
      <c r="E20" s="19" t="s">
        <v>213</v>
      </c>
      <c r="F20" s="19" t="s">
        <v>186</v>
      </c>
      <c r="G20" s="15"/>
      <c r="H20" s="15"/>
      <c r="I20" s="15"/>
      <c r="J20" s="15"/>
      <c r="K20" s="15"/>
      <c r="L20" s="15"/>
      <c r="M20" s="15"/>
      <c r="N20" s="15"/>
      <c r="O20" s="15"/>
      <c r="P20" s="15"/>
      <c r="Q20" s="15"/>
      <c r="R20" s="15"/>
      <c r="S20" s="15"/>
      <c r="T20" s="15"/>
      <c r="U20" s="15"/>
      <c r="V20" s="15"/>
      <c r="W20" s="15"/>
      <c r="X20" s="15"/>
      <c r="Y20" s="15"/>
      <c r="Z20" s="15"/>
    </row>
    <row r="21" ht="22.5" customHeight="1">
      <c r="A21" s="19">
        <v>1.6</v>
      </c>
      <c r="B21" s="19" t="s">
        <v>43</v>
      </c>
      <c r="C21" s="19" t="s">
        <v>214</v>
      </c>
      <c r="D21" s="20" t="s">
        <v>215</v>
      </c>
      <c r="E21" s="19" t="s">
        <v>216</v>
      </c>
      <c r="F21" s="19" t="s">
        <v>186</v>
      </c>
      <c r="G21" s="15"/>
      <c r="H21" s="15"/>
      <c r="I21" s="15"/>
      <c r="J21" s="15"/>
      <c r="K21" s="15"/>
      <c r="L21" s="15"/>
      <c r="M21" s="15"/>
      <c r="N21" s="15"/>
      <c r="O21" s="15"/>
      <c r="P21" s="15"/>
      <c r="Q21" s="15"/>
      <c r="R21" s="15"/>
      <c r="S21" s="15"/>
      <c r="T21" s="15"/>
      <c r="U21" s="15"/>
      <c r="V21" s="15"/>
      <c r="W21" s="15"/>
      <c r="X21" s="15"/>
      <c r="Y21" s="15"/>
      <c r="Z21" s="15"/>
    </row>
    <row r="22" ht="22.5" customHeight="1">
      <c r="A22" s="18" t="s">
        <v>217</v>
      </c>
      <c r="B22" s="18"/>
      <c r="C22" s="18"/>
      <c r="D22" s="21"/>
      <c r="E22" s="18"/>
      <c r="F22" s="18"/>
      <c r="G22" s="15"/>
      <c r="H22" s="15"/>
      <c r="I22" s="15"/>
      <c r="J22" s="15"/>
      <c r="K22" s="15"/>
      <c r="L22" s="15"/>
      <c r="M22" s="15"/>
      <c r="N22" s="15"/>
      <c r="O22" s="15"/>
      <c r="P22" s="15"/>
      <c r="Q22" s="15"/>
      <c r="R22" s="15"/>
      <c r="S22" s="15"/>
      <c r="T22" s="15"/>
      <c r="U22" s="15"/>
      <c r="V22" s="15"/>
      <c r="W22" s="15"/>
      <c r="X22" s="15"/>
      <c r="Y22" s="15"/>
      <c r="Z22" s="15"/>
    </row>
    <row r="23" ht="22.5" customHeight="1">
      <c r="A23" s="19">
        <v>2.1</v>
      </c>
      <c r="B23" s="19" t="s">
        <v>44</v>
      </c>
      <c r="C23" s="19" t="s">
        <v>60</v>
      </c>
      <c r="D23" s="20" t="s">
        <v>218</v>
      </c>
      <c r="E23" s="19"/>
      <c r="F23" s="19" t="s">
        <v>196</v>
      </c>
      <c r="G23" s="15"/>
      <c r="H23" s="15"/>
      <c r="I23" s="15"/>
      <c r="J23" s="15"/>
      <c r="K23" s="15"/>
      <c r="L23" s="15"/>
      <c r="M23" s="15"/>
      <c r="N23" s="15"/>
      <c r="O23" s="15"/>
      <c r="P23" s="15"/>
      <c r="Q23" s="15"/>
      <c r="R23" s="15"/>
      <c r="S23" s="15"/>
      <c r="T23" s="15"/>
      <c r="U23" s="15"/>
      <c r="V23" s="15"/>
      <c r="W23" s="15"/>
      <c r="X23" s="15"/>
      <c r="Y23" s="15"/>
      <c r="Z23" s="15"/>
    </row>
    <row r="24" ht="22.5" customHeight="1">
      <c r="A24" s="19">
        <v>2.2</v>
      </c>
      <c r="B24" s="19" t="s">
        <v>44</v>
      </c>
      <c r="C24" s="19" t="s">
        <v>65</v>
      </c>
      <c r="D24" s="20" t="s">
        <v>219</v>
      </c>
      <c r="E24" s="19" t="s">
        <v>220</v>
      </c>
      <c r="F24" s="19" t="s">
        <v>196</v>
      </c>
      <c r="G24" s="15"/>
      <c r="H24" s="15"/>
      <c r="I24" s="15"/>
      <c r="J24" s="15"/>
      <c r="K24" s="15"/>
      <c r="L24" s="15"/>
      <c r="M24" s="15"/>
      <c r="N24" s="15"/>
      <c r="O24" s="15"/>
      <c r="P24" s="15"/>
      <c r="Q24" s="15"/>
      <c r="R24" s="15"/>
      <c r="S24" s="15"/>
      <c r="T24" s="15"/>
      <c r="U24" s="15"/>
      <c r="V24" s="15"/>
      <c r="W24" s="15"/>
      <c r="X24" s="15"/>
      <c r="Y24" s="15"/>
      <c r="Z24" s="15"/>
    </row>
    <row r="25" ht="22.5" customHeight="1">
      <c r="A25" s="19">
        <v>2.3</v>
      </c>
      <c r="B25" s="19" t="s">
        <v>44</v>
      </c>
      <c r="C25" s="19" t="s">
        <v>71</v>
      </c>
      <c r="D25" s="20" t="s">
        <v>221</v>
      </c>
      <c r="E25" s="19" t="s">
        <v>222</v>
      </c>
      <c r="F25" s="19" t="s">
        <v>196</v>
      </c>
      <c r="G25" s="15"/>
      <c r="H25" s="15"/>
      <c r="I25" s="15"/>
      <c r="J25" s="15"/>
      <c r="K25" s="15"/>
      <c r="L25" s="15"/>
      <c r="M25" s="15"/>
      <c r="N25" s="15"/>
      <c r="O25" s="15"/>
      <c r="P25" s="15"/>
      <c r="Q25" s="15"/>
      <c r="R25" s="15"/>
      <c r="S25" s="15"/>
      <c r="T25" s="15"/>
      <c r="U25" s="15"/>
      <c r="V25" s="15"/>
      <c r="W25" s="15"/>
      <c r="X25" s="15"/>
      <c r="Y25" s="15"/>
      <c r="Z25" s="15"/>
    </row>
    <row r="26" ht="22.5" customHeight="1">
      <c r="A26" s="19">
        <v>2.4</v>
      </c>
      <c r="B26" s="19" t="s">
        <v>44</v>
      </c>
      <c r="C26" s="19" t="s">
        <v>223</v>
      </c>
      <c r="D26" s="20" t="s">
        <v>224</v>
      </c>
      <c r="E26" s="19" t="s">
        <v>225</v>
      </c>
      <c r="F26" s="19" t="s">
        <v>196</v>
      </c>
      <c r="G26" s="15"/>
      <c r="H26" s="15"/>
      <c r="I26" s="15"/>
      <c r="J26" s="15"/>
      <c r="K26" s="15"/>
      <c r="L26" s="15"/>
      <c r="M26" s="15"/>
      <c r="N26" s="15"/>
      <c r="O26" s="15"/>
      <c r="P26" s="15"/>
      <c r="Q26" s="15"/>
      <c r="R26" s="15"/>
      <c r="S26" s="15"/>
      <c r="T26" s="15"/>
      <c r="U26" s="15"/>
      <c r="V26" s="15"/>
      <c r="W26" s="15"/>
      <c r="X26" s="15"/>
      <c r="Y26" s="15"/>
      <c r="Z26" s="15"/>
    </row>
    <row r="27" ht="22.5" customHeight="1">
      <c r="A27" s="19">
        <v>2.5</v>
      </c>
      <c r="B27" s="19" t="s">
        <v>44</v>
      </c>
      <c r="C27" s="19" t="s">
        <v>226</v>
      </c>
      <c r="D27" s="20" t="s">
        <v>227</v>
      </c>
      <c r="E27" s="19" t="s">
        <v>228</v>
      </c>
      <c r="F27" s="19" t="s">
        <v>196</v>
      </c>
      <c r="G27" s="15"/>
      <c r="H27" s="15"/>
      <c r="I27" s="15"/>
      <c r="J27" s="15"/>
      <c r="K27" s="15"/>
      <c r="L27" s="15"/>
      <c r="M27" s="15"/>
      <c r="N27" s="15"/>
      <c r="O27" s="15"/>
      <c r="P27" s="15"/>
      <c r="Q27" s="15"/>
      <c r="R27" s="15"/>
      <c r="S27" s="15"/>
      <c r="T27" s="15"/>
      <c r="U27" s="15"/>
      <c r="V27" s="15"/>
      <c r="W27" s="15"/>
      <c r="X27" s="15"/>
      <c r="Y27" s="15"/>
      <c r="Z27" s="15"/>
    </row>
    <row r="28" ht="22.5" customHeight="1">
      <c r="A28" s="19">
        <v>2.6</v>
      </c>
      <c r="B28" s="19" t="s">
        <v>44</v>
      </c>
      <c r="C28" s="19" t="s">
        <v>229</v>
      </c>
      <c r="D28" s="20" t="s">
        <v>230</v>
      </c>
      <c r="E28" s="19" t="s">
        <v>231</v>
      </c>
      <c r="F28" s="19" t="s">
        <v>196</v>
      </c>
      <c r="G28" s="15"/>
      <c r="H28" s="15"/>
      <c r="I28" s="15"/>
      <c r="J28" s="15"/>
      <c r="K28" s="15"/>
      <c r="L28" s="15"/>
      <c r="M28" s="15"/>
      <c r="N28" s="15"/>
      <c r="O28" s="15"/>
      <c r="P28" s="15"/>
      <c r="Q28" s="15"/>
      <c r="R28" s="15"/>
      <c r="S28" s="15"/>
      <c r="T28" s="15"/>
      <c r="U28" s="15"/>
      <c r="V28" s="15"/>
      <c r="W28" s="15"/>
      <c r="X28" s="15"/>
      <c r="Y28" s="15"/>
      <c r="Z28" s="15"/>
    </row>
    <row r="29" ht="22.5" customHeight="1">
      <c r="A29" s="19">
        <v>2.7</v>
      </c>
      <c r="B29" s="19" t="s">
        <v>44</v>
      </c>
      <c r="C29" s="19" t="s">
        <v>232</v>
      </c>
      <c r="D29" s="20" t="s">
        <v>233</v>
      </c>
      <c r="E29" s="19"/>
      <c r="F29" s="19" t="s">
        <v>196</v>
      </c>
      <c r="G29" s="15"/>
      <c r="H29" s="15"/>
      <c r="I29" s="15"/>
      <c r="J29" s="15"/>
      <c r="K29" s="15"/>
      <c r="L29" s="15"/>
      <c r="M29" s="15"/>
      <c r="N29" s="15"/>
      <c r="O29" s="15"/>
      <c r="P29" s="15"/>
      <c r="Q29" s="15"/>
      <c r="R29" s="15"/>
      <c r="S29" s="15"/>
      <c r="T29" s="15"/>
      <c r="U29" s="15"/>
      <c r="V29" s="15"/>
      <c r="W29" s="15"/>
      <c r="X29" s="15"/>
      <c r="Y29" s="15"/>
      <c r="Z29" s="15"/>
    </row>
    <row r="30" ht="22.5" customHeight="1">
      <c r="A30" s="19">
        <v>2.8</v>
      </c>
      <c r="B30" s="19" t="s">
        <v>44</v>
      </c>
      <c r="C30" s="19" t="s">
        <v>234</v>
      </c>
      <c r="D30" s="20" t="s">
        <v>235</v>
      </c>
      <c r="E30" s="19" t="s">
        <v>236</v>
      </c>
      <c r="F30" s="19" t="s">
        <v>200</v>
      </c>
      <c r="G30" s="15"/>
      <c r="H30" s="15"/>
      <c r="I30" s="15"/>
      <c r="J30" s="15"/>
      <c r="K30" s="15"/>
      <c r="L30" s="15"/>
      <c r="M30" s="15"/>
      <c r="N30" s="15"/>
      <c r="O30" s="15"/>
      <c r="P30" s="15"/>
      <c r="Q30" s="15"/>
      <c r="R30" s="15"/>
      <c r="S30" s="15"/>
      <c r="T30" s="15"/>
      <c r="U30" s="15"/>
      <c r="V30" s="15"/>
      <c r="W30" s="15"/>
      <c r="X30" s="15"/>
      <c r="Y30" s="15"/>
      <c r="Z30" s="15"/>
    </row>
    <row r="31" ht="22.5" customHeight="1">
      <c r="A31" s="18" t="s">
        <v>237</v>
      </c>
      <c r="B31" s="18"/>
      <c r="C31" s="18"/>
      <c r="D31" s="21"/>
      <c r="E31" s="18"/>
      <c r="F31" s="18"/>
      <c r="G31" s="15"/>
      <c r="H31" s="15"/>
      <c r="I31" s="15"/>
      <c r="J31" s="15"/>
      <c r="K31" s="15"/>
      <c r="L31" s="15"/>
      <c r="M31" s="15"/>
      <c r="N31" s="15"/>
      <c r="O31" s="15"/>
      <c r="P31" s="15"/>
      <c r="Q31" s="15"/>
      <c r="R31" s="15"/>
      <c r="S31" s="15"/>
      <c r="T31" s="15"/>
      <c r="U31" s="15"/>
      <c r="V31" s="15"/>
      <c r="W31" s="15"/>
      <c r="X31" s="15"/>
      <c r="Y31" s="15"/>
      <c r="Z31" s="15"/>
    </row>
    <row r="32" ht="22.5" customHeight="1">
      <c r="A32" s="19">
        <v>3.0</v>
      </c>
      <c r="B32" s="19" t="s">
        <v>238</v>
      </c>
      <c r="C32" s="19" t="s">
        <v>239</v>
      </c>
      <c r="D32" s="20" t="s">
        <v>240</v>
      </c>
      <c r="E32" s="19"/>
      <c r="F32" s="19" t="s">
        <v>196</v>
      </c>
      <c r="G32" s="15"/>
      <c r="H32" s="15"/>
      <c r="I32" s="15"/>
      <c r="J32" s="15"/>
      <c r="K32" s="15"/>
      <c r="L32" s="15"/>
      <c r="M32" s="15"/>
      <c r="N32" s="15"/>
      <c r="O32" s="15"/>
      <c r="P32" s="15"/>
      <c r="Q32" s="15"/>
      <c r="R32" s="15"/>
      <c r="S32" s="15"/>
      <c r="T32" s="15"/>
      <c r="U32" s="15"/>
      <c r="V32" s="15"/>
      <c r="W32" s="15"/>
      <c r="X32" s="15"/>
      <c r="Y32" s="15"/>
      <c r="Z32" s="15"/>
    </row>
    <row r="33" ht="22.5" customHeight="1">
      <c r="A33" s="19">
        <v>3.1</v>
      </c>
      <c r="B33" s="19" t="s">
        <v>238</v>
      </c>
      <c r="C33" s="19" t="s">
        <v>61</v>
      </c>
      <c r="D33" s="20" t="s">
        <v>241</v>
      </c>
      <c r="E33" s="19" t="s">
        <v>242</v>
      </c>
      <c r="F33" s="19" t="s">
        <v>196</v>
      </c>
      <c r="G33" s="15"/>
      <c r="H33" s="15"/>
      <c r="I33" s="15"/>
      <c r="J33" s="15"/>
      <c r="K33" s="15"/>
      <c r="L33" s="15"/>
      <c r="M33" s="15"/>
      <c r="N33" s="15"/>
      <c r="O33" s="15"/>
      <c r="P33" s="15"/>
      <c r="Q33" s="15"/>
      <c r="R33" s="15"/>
      <c r="S33" s="15"/>
      <c r="T33" s="15"/>
      <c r="U33" s="15"/>
      <c r="V33" s="15"/>
      <c r="W33" s="15"/>
      <c r="X33" s="15"/>
      <c r="Y33" s="15"/>
      <c r="Z33" s="15"/>
    </row>
    <row r="34" ht="22.5" customHeight="1">
      <c r="A34" s="19">
        <v>3.2</v>
      </c>
      <c r="B34" s="19" t="s">
        <v>238</v>
      </c>
      <c r="C34" s="19" t="s">
        <v>62</v>
      </c>
      <c r="D34" s="20" t="s">
        <v>243</v>
      </c>
      <c r="E34" s="19" t="s">
        <v>244</v>
      </c>
      <c r="F34" s="19" t="s">
        <v>196</v>
      </c>
      <c r="G34" s="15"/>
      <c r="H34" s="15"/>
      <c r="I34" s="15"/>
      <c r="J34" s="15"/>
      <c r="K34" s="15"/>
      <c r="L34" s="15"/>
      <c r="M34" s="15"/>
      <c r="N34" s="15"/>
      <c r="O34" s="15"/>
      <c r="P34" s="15"/>
      <c r="Q34" s="15"/>
      <c r="R34" s="15"/>
      <c r="S34" s="15"/>
      <c r="T34" s="15"/>
      <c r="U34" s="15"/>
      <c r="V34" s="15"/>
      <c r="W34" s="15"/>
      <c r="X34" s="15"/>
      <c r="Y34" s="15"/>
      <c r="Z34" s="15"/>
    </row>
    <row r="35" ht="22.5" customHeight="1">
      <c r="A35" s="19">
        <v>3.3</v>
      </c>
      <c r="B35" s="19" t="s">
        <v>238</v>
      </c>
      <c r="C35" s="19" t="s">
        <v>71</v>
      </c>
      <c r="D35" s="20" t="s">
        <v>245</v>
      </c>
      <c r="E35" s="19" t="s">
        <v>246</v>
      </c>
      <c r="F35" s="19" t="s">
        <v>196</v>
      </c>
      <c r="G35" s="15"/>
      <c r="H35" s="15"/>
      <c r="I35" s="15"/>
      <c r="J35" s="15"/>
      <c r="K35" s="15"/>
      <c r="L35" s="15"/>
      <c r="M35" s="15"/>
      <c r="N35" s="15"/>
      <c r="O35" s="15"/>
      <c r="P35" s="15"/>
      <c r="Q35" s="15"/>
      <c r="R35" s="15"/>
      <c r="S35" s="15"/>
      <c r="T35" s="15"/>
      <c r="U35" s="15"/>
      <c r="V35" s="15"/>
      <c r="W35" s="15"/>
      <c r="X35" s="15"/>
      <c r="Y35" s="15"/>
      <c r="Z35" s="15"/>
    </row>
    <row r="36" ht="22.5" customHeight="1">
      <c r="A36" s="19">
        <v>3.4</v>
      </c>
      <c r="B36" s="19" t="s">
        <v>238</v>
      </c>
      <c r="C36" s="19" t="s">
        <v>247</v>
      </c>
      <c r="D36" s="20" t="s">
        <v>248</v>
      </c>
      <c r="E36" s="19"/>
      <c r="F36" s="19" t="s">
        <v>196</v>
      </c>
      <c r="G36" s="15"/>
      <c r="H36" s="15"/>
      <c r="I36" s="15"/>
      <c r="J36" s="15"/>
      <c r="K36" s="15"/>
      <c r="L36" s="15"/>
      <c r="M36" s="15"/>
      <c r="N36" s="15"/>
      <c r="O36" s="15"/>
      <c r="P36" s="15"/>
      <c r="Q36" s="15"/>
      <c r="R36" s="15"/>
      <c r="S36" s="15"/>
      <c r="T36" s="15"/>
      <c r="U36" s="15"/>
      <c r="V36" s="15"/>
      <c r="W36" s="15"/>
      <c r="X36" s="15"/>
      <c r="Y36" s="15"/>
      <c r="Z36" s="15"/>
    </row>
    <row r="37" ht="22.5" customHeight="1">
      <c r="A37" s="19">
        <v>3.5</v>
      </c>
      <c r="B37" s="19" t="s">
        <v>238</v>
      </c>
      <c r="C37" s="19" t="s">
        <v>249</v>
      </c>
      <c r="D37" s="20" t="s">
        <v>250</v>
      </c>
      <c r="E37" s="19"/>
      <c r="F37" s="19" t="s">
        <v>186</v>
      </c>
      <c r="G37" s="15"/>
      <c r="H37" s="15"/>
      <c r="I37" s="15"/>
      <c r="J37" s="15"/>
      <c r="K37" s="15"/>
      <c r="L37" s="15"/>
      <c r="M37" s="15"/>
      <c r="N37" s="15"/>
      <c r="O37" s="15"/>
      <c r="P37" s="15"/>
      <c r="Q37" s="15"/>
      <c r="R37" s="15"/>
      <c r="S37" s="15"/>
      <c r="T37" s="15"/>
      <c r="U37" s="15"/>
      <c r="V37" s="15"/>
      <c r="W37" s="15"/>
      <c r="X37" s="15"/>
      <c r="Y37" s="15"/>
      <c r="Z37" s="15"/>
    </row>
    <row r="38" ht="22.5" customHeight="1">
      <c r="A38" s="18" t="s">
        <v>251</v>
      </c>
      <c r="B38" s="18"/>
      <c r="C38" s="18"/>
      <c r="D38" s="21"/>
      <c r="E38" s="18"/>
      <c r="F38" s="18"/>
      <c r="G38" s="15"/>
      <c r="H38" s="15"/>
      <c r="I38" s="15"/>
      <c r="J38" s="15"/>
      <c r="K38" s="15"/>
      <c r="L38" s="15"/>
      <c r="M38" s="15"/>
      <c r="N38" s="15"/>
      <c r="O38" s="15"/>
      <c r="P38" s="15"/>
      <c r="Q38" s="15"/>
      <c r="R38" s="15"/>
      <c r="S38" s="15"/>
      <c r="T38" s="15"/>
      <c r="U38" s="15"/>
      <c r="V38" s="15"/>
      <c r="W38" s="15"/>
      <c r="X38" s="15"/>
      <c r="Y38" s="15"/>
      <c r="Z38" s="15"/>
    </row>
    <row r="39" ht="22.5" customHeight="1">
      <c r="A39" s="19">
        <v>4.0</v>
      </c>
      <c r="B39" s="19" t="s">
        <v>252</v>
      </c>
      <c r="C39" s="19" t="s">
        <v>239</v>
      </c>
      <c r="D39" s="20" t="s">
        <v>253</v>
      </c>
      <c r="E39" s="19"/>
      <c r="F39" s="19" t="s">
        <v>196</v>
      </c>
      <c r="G39" s="15"/>
      <c r="H39" s="15"/>
      <c r="I39" s="15"/>
      <c r="J39" s="15"/>
      <c r="K39" s="15"/>
      <c r="L39" s="15"/>
      <c r="M39" s="15"/>
      <c r="N39" s="15"/>
      <c r="O39" s="15"/>
      <c r="P39" s="15"/>
      <c r="Q39" s="15"/>
      <c r="R39" s="15"/>
      <c r="S39" s="15"/>
      <c r="T39" s="15"/>
      <c r="U39" s="15"/>
      <c r="V39" s="15"/>
      <c r="W39" s="15"/>
      <c r="X39" s="15"/>
      <c r="Y39" s="15"/>
      <c r="Z39" s="15"/>
    </row>
    <row r="40" ht="22.5" customHeight="1">
      <c r="A40" s="19">
        <v>4.1</v>
      </c>
      <c r="B40" s="19" t="s">
        <v>252</v>
      </c>
      <c r="C40" s="19" t="s">
        <v>61</v>
      </c>
      <c r="D40" s="20" t="s">
        <v>254</v>
      </c>
      <c r="E40" s="19" t="s">
        <v>255</v>
      </c>
      <c r="F40" s="19" t="s">
        <v>196</v>
      </c>
      <c r="G40" s="15"/>
      <c r="H40" s="15"/>
      <c r="I40" s="15"/>
      <c r="J40" s="15"/>
      <c r="K40" s="15"/>
      <c r="L40" s="15"/>
      <c r="M40" s="15"/>
      <c r="N40" s="15"/>
      <c r="O40" s="15"/>
      <c r="P40" s="15"/>
      <c r="Q40" s="15"/>
      <c r="R40" s="15"/>
      <c r="S40" s="15"/>
      <c r="T40" s="15"/>
      <c r="U40" s="15"/>
      <c r="V40" s="15"/>
      <c r="W40" s="15"/>
      <c r="X40" s="15"/>
      <c r="Y40" s="15"/>
      <c r="Z40" s="15"/>
    </row>
    <row r="41" ht="22.5" customHeight="1">
      <c r="A41" s="19">
        <v>4.2</v>
      </c>
      <c r="B41" s="19" t="s">
        <v>252</v>
      </c>
      <c r="C41" s="19" t="s">
        <v>62</v>
      </c>
      <c r="D41" s="20" t="s">
        <v>256</v>
      </c>
      <c r="E41" s="19" t="s">
        <v>257</v>
      </c>
      <c r="F41" s="19" t="s">
        <v>196</v>
      </c>
      <c r="G41" s="15"/>
      <c r="H41" s="15"/>
      <c r="I41" s="15"/>
      <c r="J41" s="15"/>
      <c r="K41" s="15"/>
      <c r="L41" s="15"/>
      <c r="M41" s="15"/>
      <c r="N41" s="15"/>
      <c r="O41" s="15"/>
      <c r="P41" s="15"/>
      <c r="Q41" s="15"/>
      <c r="R41" s="15"/>
      <c r="S41" s="15"/>
      <c r="T41" s="15"/>
      <c r="U41" s="15"/>
      <c r="V41" s="15"/>
      <c r="W41" s="15"/>
      <c r="X41" s="15"/>
      <c r="Y41" s="15"/>
      <c r="Z41" s="15"/>
    </row>
    <row r="42" ht="22.5" customHeight="1">
      <c r="A42" s="19">
        <v>4.3</v>
      </c>
      <c r="B42" s="19" t="s">
        <v>252</v>
      </c>
      <c r="C42" s="19" t="s">
        <v>71</v>
      </c>
      <c r="D42" s="20" t="s">
        <v>258</v>
      </c>
      <c r="E42" s="19" t="s">
        <v>259</v>
      </c>
      <c r="F42" s="19" t="s">
        <v>196</v>
      </c>
      <c r="G42" s="15"/>
      <c r="H42" s="15"/>
      <c r="I42" s="15"/>
      <c r="J42" s="15"/>
      <c r="K42" s="15"/>
      <c r="L42" s="15"/>
      <c r="M42" s="15"/>
      <c r="N42" s="15"/>
      <c r="O42" s="15"/>
      <c r="P42" s="15"/>
      <c r="Q42" s="15"/>
      <c r="R42" s="15"/>
      <c r="S42" s="15"/>
      <c r="T42" s="15"/>
      <c r="U42" s="15"/>
      <c r="V42" s="15"/>
      <c r="W42" s="15"/>
      <c r="X42" s="15"/>
      <c r="Y42" s="15"/>
      <c r="Z42" s="15"/>
    </row>
    <row r="43" ht="22.5" customHeight="1">
      <c r="A43" s="19">
        <v>4.4</v>
      </c>
      <c r="B43" s="19" t="s">
        <v>252</v>
      </c>
      <c r="C43" s="19" t="s">
        <v>260</v>
      </c>
      <c r="D43" s="20" t="s">
        <v>261</v>
      </c>
      <c r="E43" s="19" t="s">
        <v>262</v>
      </c>
      <c r="F43" s="19" t="s">
        <v>186</v>
      </c>
      <c r="G43" s="15"/>
      <c r="H43" s="15"/>
      <c r="I43" s="15"/>
      <c r="J43" s="15"/>
      <c r="K43" s="15"/>
      <c r="L43" s="15"/>
      <c r="M43" s="15"/>
      <c r="N43" s="15"/>
      <c r="O43" s="15"/>
      <c r="P43" s="15"/>
      <c r="Q43" s="15"/>
      <c r="R43" s="15"/>
      <c r="S43" s="15"/>
      <c r="T43" s="15"/>
      <c r="U43" s="15"/>
      <c r="V43" s="15"/>
      <c r="W43" s="15"/>
      <c r="X43" s="15"/>
      <c r="Y43" s="15"/>
      <c r="Z43" s="15"/>
    </row>
    <row r="44" ht="22.5" customHeight="1">
      <c r="A44" s="19">
        <v>4.5</v>
      </c>
      <c r="B44" s="19" t="s">
        <v>252</v>
      </c>
      <c r="C44" s="19" t="s">
        <v>263</v>
      </c>
      <c r="D44" s="20" t="s">
        <v>264</v>
      </c>
      <c r="E44" s="19" t="s">
        <v>265</v>
      </c>
      <c r="F44" s="19" t="s">
        <v>186</v>
      </c>
      <c r="G44" s="15"/>
      <c r="H44" s="15"/>
      <c r="I44" s="15"/>
      <c r="J44" s="15"/>
      <c r="K44" s="15"/>
      <c r="L44" s="15"/>
      <c r="M44" s="15"/>
      <c r="N44" s="15"/>
      <c r="O44" s="15"/>
      <c r="P44" s="15"/>
      <c r="Q44" s="15"/>
      <c r="R44" s="15"/>
      <c r="S44" s="15"/>
      <c r="T44" s="15"/>
      <c r="U44" s="15"/>
      <c r="V44" s="15"/>
      <c r="W44" s="15"/>
      <c r="X44" s="15"/>
      <c r="Y44" s="15"/>
      <c r="Z44" s="15"/>
    </row>
    <row r="45" ht="22.5" customHeight="1">
      <c r="A45" s="19">
        <v>4.6</v>
      </c>
      <c r="B45" s="19" t="s">
        <v>252</v>
      </c>
      <c r="C45" s="19" t="s">
        <v>266</v>
      </c>
      <c r="D45" s="20" t="s">
        <v>267</v>
      </c>
      <c r="E45" s="19" t="s">
        <v>268</v>
      </c>
      <c r="F45" s="19" t="s">
        <v>186</v>
      </c>
      <c r="G45" s="15"/>
      <c r="H45" s="15"/>
      <c r="I45" s="15"/>
      <c r="J45" s="15"/>
      <c r="K45" s="15"/>
      <c r="L45" s="15"/>
      <c r="M45" s="15"/>
      <c r="N45" s="15"/>
      <c r="O45" s="15"/>
      <c r="P45" s="15"/>
      <c r="Q45" s="15"/>
      <c r="R45" s="15"/>
      <c r="S45" s="15"/>
      <c r="T45" s="15"/>
      <c r="U45" s="15"/>
      <c r="V45" s="15"/>
      <c r="W45" s="15"/>
      <c r="X45" s="15"/>
      <c r="Y45" s="15"/>
      <c r="Z45" s="15"/>
    </row>
    <row r="46" ht="22.5" customHeight="1">
      <c r="A46" s="18" t="s">
        <v>269</v>
      </c>
      <c r="B46" s="18"/>
      <c r="C46" s="18"/>
      <c r="D46" s="21"/>
      <c r="E46" s="18"/>
      <c r="F46" s="18"/>
      <c r="G46" s="15"/>
      <c r="H46" s="15"/>
      <c r="I46" s="15"/>
      <c r="J46" s="15"/>
      <c r="K46" s="15"/>
      <c r="L46" s="15"/>
      <c r="M46" s="15"/>
      <c r="N46" s="15"/>
      <c r="O46" s="15"/>
      <c r="P46" s="15"/>
      <c r="Q46" s="15"/>
      <c r="R46" s="15"/>
      <c r="S46" s="15"/>
      <c r="T46" s="15"/>
      <c r="U46" s="15"/>
      <c r="V46" s="15"/>
      <c r="W46" s="15"/>
      <c r="X46" s="15"/>
      <c r="Y46" s="15"/>
      <c r="Z46" s="15"/>
    </row>
    <row r="47" ht="22.5" customHeight="1">
      <c r="A47" s="19">
        <v>5.1</v>
      </c>
      <c r="B47" s="19" t="s">
        <v>47</v>
      </c>
      <c r="C47" s="19" t="s">
        <v>61</v>
      </c>
      <c r="D47" s="20" t="s">
        <v>270</v>
      </c>
      <c r="E47" s="19" t="s">
        <v>271</v>
      </c>
      <c r="F47" s="19" t="s">
        <v>196</v>
      </c>
      <c r="G47" s="15"/>
      <c r="H47" s="15"/>
      <c r="I47" s="15"/>
      <c r="J47" s="15"/>
      <c r="K47" s="15"/>
      <c r="L47" s="15"/>
      <c r="M47" s="15"/>
      <c r="N47" s="15"/>
      <c r="O47" s="15"/>
      <c r="P47" s="15"/>
      <c r="Q47" s="15"/>
      <c r="R47" s="15"/>
      <c r="S47" s="15"/>
      <c r="T47" s="15"/>
      <c r="U47" s="15"/>
      <c r="V47" s="15"/>
      <c r="W47" s="15"/>
      <c r="X47" s="15"/>
      <c r="Y47" s="15"/>
      <c r="Z47" s="15"/>
    </row>
    <row r="48" ht="22.5" customHeight="1">
      <c r="A48" s="19">
        <v>5.2</v>
      </c>
      <c r="B48" s="19" t="s">
        <v>47</v>
      </c>
      <c r="C48" s="19" t="s">
        <v>62</v>
      </c>
      <c r="D48" s="20" t="s">
        <v>272</v>
      </c>
      <c r="E48" s="19" t="s">
        <v>273</v>
      </c>
      <c r="F48" s="19" t="s">
        <v>196</v>
      </c>
      <c r="G48" s="15"/>
      <c r="H48" s="15"/>
      <c r="I48" s="15"/>
      <c r="J48" s="15"/>
      <c r="K48" s="15"/>
      <c r="L48" s="15"/>
      <c r="M48" s="15"/>
      <c r="N48" s="15"/>
      <c r="O48" s="15"/>
      <c r="P48" s="15"/>
      <c r="Q48" s="15"/>
      <c r="R48" s="15"/>
      <c r="S48" s="15"/>
      <c r="T48" s="15"/>
      <c r="U48" s="15"/>
      <c r="V48" s="15"/>
      <c r="W48" s="15"/>
      <c r="X48" s="15"/>
      <c r="Y48" s="15"/>
      <c r="Z48" s="15"/>
    </row>
    <row r="49" ht="22.5" customHeight="1">
      <c r="A49" s="19">
        <v>5.3</v>
      </c>
      <c r="B49" s="19" t="s">
        <v>47</v>
      </c>
      <c r="C49" s="19" t="s">
        <v>71</v>
      </c>
      <c r="D49" s="20" t="s">
        <v>274</v>
      </c>
      <c r="E49" s="19" t="s">
        <v>275</v>
      </c>
      <c r="F49" s="19" t="s">
        <v>196</v>
      </c>
      <c r="G49" s="15"/>
      <c r="H49" s="15"/>
      <c r="I49" s="15"/>
      <c r="J49" s="15"/>
      <c r="K49" s="15"/>
      <c r="L49" s="15"/>
      <c r="M49" s="15"/>
      <c r="N49" s="15"/>
      <c r="O49" s="15"/>
      <c r="P49" s="15"/>
      <c r="Q49" s="15"/>
      <c r="R49" s="15"/>
      <c r="S49" s="15"/>
      <c r="T49" s="15"/>
      <c r="U49" s="15"/>
      <c r="V49" s="15"/>
      <c r="W49" s="15"/>
      <c r="X49" s="15"/>
      <c r="Y49" s="15"/>
      <c r="Z49" s="15"/>
    </row>
    <row r="50" ht="22.5" customHeight="1">
      <c r="A50" s="19">
        <v>5.4</v>
      </c>
      <c r="B50" s="19" t="s">
        <v>47</v>
      </c>
      <c r="C50" s="19" t="s">
        <v>276</v>
      </c>
      <c r="D50" s="20" t="s">
        <v>277</v>
      </c>
      <c r="E50" s="19" t="s">
        <v>275</v>
      </c>
      <c r="F50" s="19" t="s">
        <v>196</v>
      </c>
      <c r="G50" s="15"/>
      <c r="H50" s="15"/>
      <c r="I50" s="15"/>
      <c r="J50" s="15"/>
      <c r="K50" s="15"/>
      <c r="L50" s="15"/>
      <c r="M50" s="15"/>
      <c r="N50" s="15"/>
      <c r="O50" s="15"/>
      <c r="P50" s="15"/>
      <c r="Q50" s="15"/>
      <c r="R50" s="15"/>
      <c r="S50" s="15"/>
      <c r="T50" s="15"/>
      <c r="U50" s="15"/>
      <c r="V50" s="15"/>
      <c r="W50" s="15"/>
      <c r="X50" s="15"/>
      <c r="Y50" s="15"/>
      <c r="Z50" s="15"/>
    </row>
    <row r="51" ht="22.5" customHeight="1">
      <c r="A51" s="19">
        <v>5.5</v>
      </c>
      <c r="B51" s="19" t="s">
        <v>47</v>
      </c>
      <c r="C51" s="19" t="s">
        <v>278</v>
      </c>
      <c r="D51" s="20" t="s">
        <v>279</v>
      </c>
      <c r="E51" s="19" t="s">
        <v>280</v>
      </c>
      <c r="F51" s="19" t="s">
        <v>186</v>
      </c>
      <c r="G51" s="15"/>
      <c r="H51" s="15"/>
      <c r="I51" s="15"/>
      <c r="J51" s="15"/>
      <c r="K51" s="15"/>
      <c r="L51" s="15"/>
      <c r="M51" s="15"/>
      <c r="N51" s="15"/>
      <c r="O51" s="15"/>
      <c r="P51" s="15"/>
      <c r="Q51" s="15"/>
      <c r="R51" s="15"/>
      <c r="S51" s="15"/>
      <c r="T51" s="15"/>
      <c r="U51" s="15"/>
      <c r="V51" s="15"/>
      <c r="W51" s="15"/>
      <c r="X51" s="15"/>
      <c r="Y51" s="15"/>
      <c r="Z51" s="15"/>
    </row>
    <row r="52" ht="22.5" customHeight="1">
      <c r="A52" s="22" t="s">
        <v>281</v>
      </c>
      <c r="B52" s="22"/>
      <c r="C52" s="22"/>
      <c r="D52" s="23"/>
      <c r="E52" s="22"/>
      <c r="F52" s="22"/>
      <c r="G52" s="15"/>
      <c r="H52" s="15"/>
      <c r="I52" s="15"/>
      <c r="J52" s="15"/>
      <c r="K52" s="15"/>
      <c r="L52" s="15"/>
      <c r="M52" s="15"/>
      <c r="N52" s="15"/>
      <c r="O52" s="15"/>
      <c r="P52" s="15"/>
      <c r="Q52" s="15"/>
      <c r="R52" s="15"/>
      <c r="S52" s="15"/>
      <c r="T52" s="15"/>
      <c r="U52" s="15"/>
      <c r="V52" s="15"/>
      <c r="W52" s="15"/>
      <c r="X52" s="15"/>
      <c r="Y52" s="15"/>
      <c r="Z52" s="15"/>
    </row>
    <row r="53" ht="22.5" customHeight="1">
      <c r="A53" s="19">
        <v>6.1</v>
      </c>
      <c r="B53" s="19" t="s">
        <v>48</v>
      </c>
      <c r="C53" s="19" t="s">
        <v>61</v>
      </c>
      <c r="D53" s="20" t="s">
        <v>282</v>
      </c>
      <c r="E53" s="19" t="s">
        <v>283</v>
      </c>
      <c r="F53" s="19" t="s">
        <v>186</v>
      </c>
      <c r="G53" s="15"/>
      <c r="H53" s="15"/>
      <c r="I53" s="15"/>
      <c r="J53" s="15"/>
      <c r="K53" s="15"/>
      <c r="L53" s="15"/>
      <c r="M53" s="15"/>
      <c r="N53" s="15"/>
      <c r="O53" s="15"/>
      <c r="P53" s="15"/>
      <c r="Q53" s="15"/>
      <c r="R53" s="15"/>
      <c r="S53" s="15"/>
      <c r="T53" s="15"/>
      <c r="U53" s="15"/>
      <c r="V53" s="15"/>
      <c r="W53" s="15"/>
      <c r="X53" s="15"/>
      <c r="Y53" s="15"/>
      <c r="Z53" s="15"/>
    </row>
    <row r="54" ht="22.5" customHeight="1">
      <c r="A54" s="19">
        <v>6.2</v>
      </c>
      <c r="B54" s="19" t="s">
        <v>48</v>
      </c>
      <c r="C54" s="19" t="s">
        <v>62</v>
      </c>
      <c r="D54" s="20" t="s">
        <v>284</v>
      </c>
      <c r="E54" s="19" t="s">
        <v>285</v>
      </c>
      <c r="F54" s="19" t="s">
        <v>186</v>
      </c>
      <c r="G54" s="15"/>
      <c r="H54" s="15"/>
      <c r="I54" s="15"/>
      <c r="J54" s="15"/>
      <c r="K54" s="15"/>
      <c r="L54" s="15"/>
      <c r="M54" s="15"/>
      <c r="N54" s="15"/>
      <c r="O54" s="15"/>
      <c r="P54" s="15"/>
      <c r="Q54" s="15"/>
      <c r="R54" s="15"/>
      <c r="S54" s="15"/>
      <c r="T54" s="15"/>
      <c r="U54" s="15"/>
      <c r="V54" s="15"/>
      <c r="W54" s="15"/>
      <c r="X54" s="15"/>
      <c r="Y54" s="15"/>
      <c r="Z54" s="15"/>
    </row>
    <row r="55" ht="22.5" customHeight="1">
      <c r="A55" s="19">
        <v>6.3</v>
      </c>
      <c r="B55" s="19" t="s">
        <v>48</v>
      </c>
      <c r="C55" s="19" t="s">
        <v>71</v>
      </c>
      <c r="D55" s="20" t="s">
        <v>286</v>
      </c>
      <c r="E55" s="19" t="s">
        <v>287</v>
      </c>
      <c r="F55" s="19" t="s">
        <v>186</v>
      </c>
      <c r="G55" s="15"/>
      <c r="H55" s="15"/>
      <c r="I55" s="15"/>
      <c r="J55" s="15"/>
      <c r="K55" s="15"/>
      <c r="L55" s="15"/>
      <c r="M55" s="15"/>
      <c r="N55" s="15"/>
      <c r="O55" s="15"/>
      <c r="P55" s="15"/>
      <c r="Q55" s="15"/>
      <c r="R55" s="15"/>
      <c r="S55" s="15"/>
      <c r="T55" s="15"/>
      <c r="U55" s="15"/>
      <c r="V55" s="15"/>
      <c r="W55" s="15"/>
      <c r="X55" s="15"/>
      <c r="Y55" s="15"/>
      <c r="Z55" s="15"/>
    </row>
    <row r="56" ht="22.5" customHeight="1">
      <c r="A56" s="18" t="s">
        <v>288</v>
      </c>
      <c r="B56" s="18"/>
      <c r="C56" s="18"/>
      <c r="D56" s="21"/>
      <c r="E56" s="18"/>
      <c r="F56" s="18"/>
      <c r="G56" s="15"/>
      <c r="H56" s="15"/>
      <c r="I56" s="15"/>
      <c r="J56" s="15"/>
      <c r="K56" s="15"/>
      <c r="L56" s="15"/>
      <c r="M56" s="15"/>
      <c r="N56" s="15"/>
      <c r="O56" s="15"/>
      <c r="P56" s="15"/>
      <c r="Q56" s="15"/>
      <c r="R56" s="15"/>
      <c r="S56" s="15"/>
      <c r="T56" s="15"/>
      <c r="U56" s="15"/>
      <c r="V56" s="15"/>
      <c r="W56" s="15"/>
      <c r="X56" s="15"/>
      <c r="Y56" s="15"/>
      <c r="Z56" s="15"/>
    </row>
    <row r="57" ht="22.5" customHeight="1">
      <c r="A57" s="19">
        <v>7.1</v>
      </c>
      <c r="B57" s="19" t="s">
        <v>49</v>
      </c>
      <c r="C57" s="19" t="s">
        <v>63</v>
      </c>
      <c r="D57" s="20" t="s">
        <v>289</v>
      </c>
      <c r="E57" s="19" t="s">
        <v>290</v>
      </c>
      <c r="F57" s="19" t="s">
        <v>200</v>
      </c>
      <c r="G57" s="15"/>
      <c r="H57" s="15"/>
      <c r="I57" s="15"/>
      <c r="J57" s="15"/>
      <c r="K57" s="15"/>
      <c r="L57" s="15"/>
      <c r="M57" s="15"/>
      <c r="N57" s="15"/>
      <c r="O57" s="15"/>
      <c r="P57" s="15"/>
      <c r="Q57" s="15"/>
      <c r="R57" s="15"/>
      <c r="S57" s="15"/>
      <c r="T57" s="15"/>
      <c r="U57" s="15"/>
      <c r="V57" s="15"/>
      <c r="W57" s="15"/>
      <c r="X57" s="15"/>
      <c r="Y57" s="15"/>
      <c r="Z57" s="15"/>
    </row>
    <row r="58" ht="22.5" customHeight="1">
      <c r="A58" s="19">
        <v>7.2</v>
      </c>
      <c r="B58" s="19" t="s">
        <v>49</v>
      </c>
      <c r="C58" s="19" t="s">
        <v>111</v>
      </c>
      <c r="D58" s="20" t="s">
        <v>291</v>
      </c>
      <c r="E58" s="19" t="s">
        <v>292</v>
      </c>
      <c r="F58" s="19" t="s">
        <v>196</v>
      </c>
      <c r="G58" s="15"/>
      <c r="H58" s="15"/>
      <c r="I58" s="15"/>
      <c r="J58" s="15"/>
      <c r="K58" s="15"/>
      <c r="L58" s="15"/>
      <c r="M58" s="15"/>
      <c r="N58" s="15"/>
      <c r="O58" s="15"/>
      <c r="P58" s="15"/>
      <c r="Q58" s="15"/>
      <c r="R58" s="15"/>
      <c r="S58" s="15"/>
      <c r="T58" s="15"/>
      <c r="U58" s="15"/>
      <c r="V58" s="15"/>
      <c r="W58" s="15"/>
      <c r="X58" s="15"/>
      <c r="Y58" s="15"/>
      <c r="Z58" s="15"/>
    </row>
    <row r="59" ht="22.5" customHeight="1">
      <c r="A59" s="19">
        <v>7.3</v>
      </c>
      <c r="B59" s="19" t="s">
        <v>49</v>
      </c>
      <c r="C59" s="19" t="s">
        <v>72</v>
      </c>
      <c r="D59" s="20" t="s">
        <v>293</v>
      </c>
      <c r="E59" s="19" t="s">
        <v>294</v>
      </c>
      <c r="F59" s="19" t="s">
        <v>196</v>
      </c>
      <c r="G59" s="15"/>
      <c r="H59" s="15"/>
      <c r="I59" s="15"/>
      <c r="J59" s="15"/>
      <c r="K59" s="15"/>
      <c r="L59" s="15"/>
      <c r="M59" s="15"/>
      <c r="N59" s="15"/>
      <c r="O59" s="15"/>
      <c r="P59" s="15"/>
      <c r="Q59" s="15"/>
      <c r="R59" s="15"/>
      <c r="S59" s="15"/>
      <c r="T59" s="15"/>
      <c r="U59" s="15"/>
      <c r="V59" s="15"/>
      <c r="W59" s="15"/>
      <c r="X59" s="15"/>
      <c r="Y59" s="15"/>
      <c r="Z59" s="15"/>
    </row>
    <row r="60" ht="22.5" customHeight="1">
      <c r="A60" s="19">
        <v>7.4</v>
      </c>
      <c r="B60" s="19" t="s">
        <v>49</v>
      </c>
      <c r="C60" s="19" t="s">
        <v>124</v>
      </c>
      <c r="D60" s="20" t="s">
        <v>295</v>
      </c>
      <c r="E60" s="19" t="s">
        <v>287</v>
      </c>
      <c r="F60" s="19" t="s">
        <v>196</v>
      </c>
      <c r="G60" s="15"/>
      <c r="H60" s="15"/>
      <c r="I60" s="15"/>
      <c r="J60" s="15"/>
      <c r="K60" s="15"/>
      <c r="L60" s="15"/>
      <c r="M60" s="15"/>
      <c r="N60" s="15"/>
      <c r="O60" s="15"/>
      <c r="P60" s="15"/>
      <c r="Q60" s="15"/>
      <c r="R60" s="15"/>
      <c r="S60" s="15"/>
      <c r="T60" s="15"/>
      <c r="U60" s="15"/>
      <c r="V60" s="15"/>
      <c r="W60" s="15"/>
      <c r="X60" s="15"/>
      <c r="Y60" s="15"/>
      <c r="Z60" s="15"/>
    </row>
    <row r="61" ht="22.5" customHeight="1">
      <c r="A61" s="19">
        <v>7.5</v>
      </c>
      <c r="B61" s="19" t="s">
        <v>49</v>
      </c>
      <c r="C61" s="19" t="s">
        <v>71</v>
      </c>
      <c r="D61" s="20" t="s">
        <v>296</v>
      </c>
      <c r="E61" s="19" t="s">
        <v>297</v>
      </c>
      <c r="F61" s="19" t="s">
        <v>196</v>
      </c>
      <c r="G61" s="15"/>
      <c r="H61" s="15"/>
      <c r="I61" s="15"/>
      <c r="J61" s="15"/>
      <c r="K61" s="15"/>
      <c r="L61" s="15"/>
      <c r="M61" s="15"/>
      <c r="N61" s="15"/>
      <c r="O61" s="15"/>
      <c r="P61" s="15"/>
      <c r="Q61" s="15"/>
      <c r="R61" s="15"/>
      <c r="S61" s="15"/>
      <c r="T61" s="15"/>
      <c r="U61" s="15"/>
      <c r="V61" s="15"/>
      <c r="W61" s="15"/>
      <c r="X61" s="15"/>
      <c r="Y61" s="15"/>
      <c r="Z61" s="15"/>
    </row>
    <row r="62" ht="22.5" customHeight="1">
      <c r="A62" s="19">
        <v>7.6</v>
      </c>
      <c r="B62" s="19" t="s">
        <v>49</v>
      </c>
      <c r="C62" s="19" t="s">
        <v>68</v>
      </c>
      <c r="D62" s="20" t="s">
        <v>298</v>
      </c>
      <c r="E62" s="19" t="s">
        <v>299</v>
      </c>
      <c r="F62" s="19" t="s">
        <v>186</v>
      </c>
      <c r="G62" s="15"/>
      <c r="H62" s="15"/>
      <c r="I62" s="15"/>
      <c r="J62" s="15"/>
      <c r="K62" s="15"/>
      <c r="L62" s="15"/>
      <c r="M62" s="15"/>
      <c r="N62" s="15"/>
      <c r="O62" s="15"/>
      <c r="P62" s="15"/>
      <c r="Q62" s="15"/>
      <c r="R62" s="15"/>
      <c r="S62" s="15"/>
      <c r="T62" s="15"/>
      <c r="U62" s="15"/>
      <c r="V62" s="15"/>
      <c r="W62" s="15"/>
      <c r="X62" s="15"/>
      <c r="Y62" s="15"/>
      <c r="Z62" s="15"/>
    </row>
    <row r="63" ht="22.5" customHeight="1">
      <c r="A63" s="19">
        <v>7.7</v>
      </c>
      <c r="B63" s="19" t="s">
        <v>49</v>
      </c>
      <c r="C63" s="19" t="s">
        <v>300</v>
      </c>
      <c r="D63" s="20" t="s">
        <v>301</v>
      </c>
      <c r="E63" s="19"/>
      <c r="F63" s="19" t="s">
        <v>196</v>
      </c>
      <c r="G63" s="15"/>
      <c r="H63" s="15"/>
      <c r="I63" s="15"/>
      <c r="J63" s="15"/>
      <c r="K63" s="15"/>
      <c r="L63" s="15"/>
      <c r="M63" s="15"/>
      <c r="N63" s="15"/>
      <c r="O63" s="15"/>
      <c r="P63" s="15"/>
      <c r="Q63" s="15"/>
      <c r="R63" s="15"/>
      <c r="S63" s="15"/>
      <c r="T63" s="15"/>
      <c r="U63" s="15"/>
      <c r="V63" s="15"/>
      <c r="W63" s="15"/>
      <c r="X63" s="15"/>
      <c r="Y63" s="15"/>
      <c r="Z63" s="15"/>
    </row>
    <row r="64" ht="22.5" customHeight="1">
      <c r="A64" s="19">
        <v>7.8</v>
      </c>
      <c r="B64" s="19" t="s">
        <v>49</v>
      </c>
      <c r="C64" s="19" t="s">
        <v>302</v>
      </c>
      <c r="D64" s="20" t="s">
        <v>303</v>
      </c>
      <c r="E64" s="19"/>
      <c r="F64" s="19" t="s">
        <v>186</v>
      </c>
      <c r="G64" s="15"/>
      <c r="H64" s="15"/>
      <c r="I64" s="15"/>
      <c r="J64" s="15"/>
      <c r="K64" s="15"/>
      <c r="L64" s="15"/>
      <c r="M64" s="15"/>
      <c r="N64" s="15"/>
      <c r="O64" s="15"/>
      <c r="P64" s="15"/>
      <c r="Q64" s="15"/>
      <c r="R64" s="15"/>
      <c r="S64" s="15"/>
      <c r="T64" s="15"/>
      <c r="U64" s="15"/>
      <c r="V64" s="15"/>
      <c r="W64" s="15"/>
      <c r="X64" s="15"/>
      <c r="Y64" s="15"/>
      <c r="Z64" s="15"/>
    </row>
    <row r="65" ht="22.5" customHeight="1">
      <c r="A65" s="18" t="s">
        <v>304</v>
      </c>
      <c r="B65" s="18"/>
      <c r="C65" s="18"/>
      <c r="D65" s="21"/>
      <c r="E65" s="18"/>
      <c r="F65" s="18"/>
      <c r="G65" s="15"/>
      <c r="H65" s="15"/>
      <c r="I65" s="15"/>
      <c r="J65" s="15"/>
      <c r="K65" s="15"/>
      <c r="L65" s="15"/>
      <c r="M65" s="15"/>
      <c r="N65" s="15"/>
      <c r="O65" s="15"/>
      <c r="P65" s="15"/>
      <c r="Q65" s="15"/>
      <c r="R65" s="15"/>
      <c r="S65" s="15"/>
      <c r="T65" s="15"/>
      <c r="U65" s="15"/>
      <c r="V65" s="15"/>
      <c r="W65" s="15"/>
      <c r="X65" s="15"/>
      <c r="Y65" s="15"/>
      <c r="Z65" s="15"/>
    </row>
    <row r="66" ht="22.5" customHeight="1">
      <c r="A66" s="19">
        <v>9.1</v>
      </c>
      <c r="B66" s="19" t="s">
        <v>305</v>
      </c>
      <c r="C66" s="19" t="s">
        <v>306</v>
      </c>
      <c r="D66" s="20" t="s">
        <v>307</v>
      </c>
      <c r="E66" s="19"/>
      <c r="F66" s="19" t="s">
        <v>196</v>
      </c>
      <c r="G66" s="15"/>
      <c r="H66" s="15"/>
      <c r="I66" s="15"/>
      <c r="J66" s="15"/>
      <c r="K66" s="15"/>
      <c r="L66" s="15"/>
      <c r="M66" s="15"/>
      <c r="N66" s="15"/>
      <c r="O66" s="15"/>
      <c r="P66" s="15"/>
      <c r="Q66" s="15"/>
      <c r="R66" s="15"/>
      <c r="S66" s="15"/>
      <c r="T66" s="15"/>
      <c r="U66" s="15"/>
      <c r="V66" s="15"/>
      <c r="W66" s="15"/>
      <c r="X66" s="15"/>
      <c r="Y66" s="15"/>
      <c r="Z66" s="15"/>
    </row>
    <row r="67" ht="22.5" customHeight="1">
      <c r="A67" s="19">
        <v>9.2</v>
      </c>
      <c r="B67" s="19" t="s">
        <v>305</v>
      </c>
      <c r="C67" s="19" t="s">
        <v>308</v>
      </c>
      <c r="D67" s="20" t="s">
        <v>309</v>
      </c>
      <c r="E67" s="19"/>
      <c r="F67" s="19" t="s">
        <v>196</v>
      </c>
      <c r="G67" s="15"/>
      <c r="H67" s="15"/>
      <c r="I67" s="15"/>
      <c r="J67" s="15"/>
      <c r="K67" s="15"/>
      <c r="L67" s="15"/>
      <c r="M67" s="15"/>
      <c r="N67" s="15"/>
      <c r="O67" s="15"/>
      <c r="P67" s="15"/>
      <c r="Q67" s="15"/>
      <c r="R67" s="15"/>
      <c r="S67" s="15"/>
      <c r="T67" s="15"/>
      <c r="U67" s="15"/>
      <c r="V67" s="15"/>
      <c r="W67" s="15"/>
      <c r="X67" s="15"/>
      <c r="Y67" s="15"/>
      <c r="Z67" s="15"/>
    </row>
    <row r="68" ht="22.5" customHeight="1">
      <c r="A68" s="19">
        <v>9.3</v>
      </c>
      <c r="B68" s="19" t="s">
        <v>305</v>
      </c>
      <c r="C68" s="19" t="s">
        <v>310</v>
      </c>
      <c r="D68" s="20" t="s">
        <v>311</v>
      </c>
      <c r="E68" s="19" t="s">
        <v>312</v>
      </c>
      <c r="F68" s="19" t="s">
        <v>196</v>
      </c>
      <c r="G68" s="15"/>
      <c r="H68" s="15"/>
      <c r="I68" s="15"/>
      <c r="J68" s="15"/>
      <c r="K68" s="15"/>
      <c r="L68" s="15"/>
      <c r="M68" s="15"/>
      <c r="N68" s="15"/>
      <c r="O68" s="15"/>
      <c r="P68" s="15"/>
      <c r="Q68" s="15"/>
      <c r="R68" s="15"/>
      <c r="S68" s="15"/>
      <c r="T68" s="15"/>
      <c r="U68" s="15"/>
      <c r="V68" s="15"/>
      <c r="W68" s="15"/>
      <c r="X68" s="15"/>
      <c r="Y68" s="15"/>
      <c r="Z68" s="15"/>
    </row>
    <row r="69" ht="22.5" customHeight="1">
      <c r="A69" s="19">
        <v>9.4</v>
      </c>
      <c r="B69" s="19" t="s">
        <v>305</v>
      </c>
      <c r="C69" s="19" t="s">
        <v>313</v>
      </c>
      <c r="D69" s="20" t="s">
        <v>314</v>
      </c>
      <c r="E69" s="19" t="s">
        <v>315</v>
      </c>
      <c r="F69" s="19" t="s">
        <v>200</v>
      </c>
      <c r="G69" s="15"/>
      <c r="H69" s="15"/>
      <c r="I69" s="15"/>
      <c r="J69" s="15"/>
      <c r="K69" s="15"/>
      <c r="L69" s="15"/>
      <c r="M69" s="15"/>
      <c r="N69" s="15"/>
      <c r="O69" s="15"/>
      <c r="P69" s="15"/>
      <c r="Q69" s="15"/>
      <c r="R69" s="15"/>
      <c r="S69" s="15"/>
      <c r="T69" s="15"/>
      <c r="U69" s="15"/>
      <c r="V69" s="15"/>
      <c r="W69" s="15"/>
      <c r="X69" s="15"/>
      <c r="Y69" s="15"/>
      <c r="Z69" s="15"/>
    </row>
    <row r="70" ht="22.5" customHeight="1">
      <c r="A70" s="19">
        <v>9.5</v>
      </c>
      <c r="B70" s="19" t="s">
        <v>305</v>
      </c>
      <c r="C70" s="19" t="s">
        <v>316</v>
      </c>
      <c r="D70" s="20" t="s">
        <v>317</v>
      </c>
      <c r="E70" s="19" t="s">
        <v>318</v>
      </c>
      <c r="F70" s="19" t="s">
        <v>186</v>
      </c>
      <c r="G70" s="15"/>
      <c r="H70" s="15"/>
      <c r="I70" s="15"/>
      <c r="J70" s="15"/>
      <c r="K70" s="15"/>
      <c r="L70" s="15"/>
      <c r="M70" s="15"/>
      <c r="N70" s="15"/>
      <c r="O70" s="15"/>
      <c r="P70" s="15"/>
      <c r="Q70" s="15"/>
      <c r="R70" s="15"/>
      <c r="S70" s="15"/>
      <c r="T70" s="15"/>
      <c r="U70" s="15"/>
      <c r="V70" s="15"/>
      <c r="W70" s="15"/>
      <c r="X70" s="15"/>
      <c r="Y70" s="15"/>
      <c r="Z70" s="15"/>
    </row>
    <row r="71" ht="22.5" customHeight="1">
      <c r="A71" s="19">
        <v>9.6</v>
      </c>
      <c r="B71" s="19" t="s">
        <v>305</v>
      </c>
      <c r="C71" s="19" t="s">
        <v>319</v>
      </c>
      <c r="D71" s="20" t="s">
        <v>320</v>
      </c>
      <c r="E71" s="19" t="s">
        <v>321</v>
      </c>
      <c r="F71" s="19" t="s">
        <v>186</v>
      </c>
      <c r="G71" s="15"/>
      <c r="H71" s="15"/>
      <c r="I71" s="15"/>
      <c r="J71" s="15"/>
      <c r="K71" s="15"/>
      <c r="L71" s="15"/>
      <c r="M71" s="15"/>
      <c r="N71" s="15"/>
      <c r="O71" s="15"/>
      <c r="P71" s="15"/>
      <c r="Q71" s="15"/>
      <c r="R71" s="15"/>
      <c r="S71" s="15"/>
      <c r="T71" s="15"/>
      <c r="U71" s="15"/>
      <c r="V71" s="15"/>
      <c r="W71" s="15"/>
      <c r="X71" s="15"/>
      <c r="Y71" s="15"/>
      <c r="Z71" s="15"/>
    </row>
    <row r="72" ht="22.5" customHeight="1">
      <c r="A72" s="19">
        <v>9.7</v>
      </c>
      <c r="B72" s="19" t="s">
        <v>305</v>
      </c>
      <c r="C72" s="19" t="s">
        <v>322</v>
      </c>
      <c r="D72" s="20" t="s">
        <v>323</v>
      </c>
      <c r="E72" s="19" t="s">
        <v>324</v>
      </c>
      <c r="F72" s="19" t="s">
        <v>186</v>
      </c>
      <c r="G72" s="15"/>
      <c r="H72" s="15"/>
      <c r="I72" s="15"/>
      <c r="J72" s="15"/>
      <c r="K72" s="15"/>
      <c r="L72" s="15"/>
      <c r="M72" s="15"/>
      <c r="N72" s="15"/>
      <c r="O72" s="15"/>
      <c r="P72" s="15"/>
      <c r="Q72" s="15"/>
      <c r="R72" s="15"/>
      <c r="S72" s="15"/>
      <c r="T72" s="15"/>
      <c r="U72" s="15"/>
      <c r="V72" s="15"/>
      <c r="W72" s="15"/>
      <c r="X72" s="15"/>
      <c r="Y72" s="15"/>
      <c r="Z72" s="15"/>
    </row>
    <row r="73" ht="22.5" customHeight="1">
      <c r="A73" s="18" t="s">
        <v>325</v>
      </c>
      <c r="B73" s="18"/>
      <c r="C73" s="18"/>
      <c r="D73" s="21"/>
      <c r="E73" s="18"/>
      <c r="F73" s="18"/>
      <c r="G73" s="15"/>
      <c r="H73" s="15"/>
      <c r="I73" s="15"/>
      <c r="J73" s="15"/>
      <c r="K73" s="15"/>
      <c r="L73" s="15"/>
      <c r="M73" s="15"/>
      <c r="N73" s="15"/>
      <c r="O73" s="15"/>
      <c r="P73" s="15"/>
      <c r="Q73" s="15"/>
      <c r="R73" s="15"/>
      <c r="S73" s="15"/>
      <c r="T73" s="15"/>
      <c r="U73" s="15"/>
      <c r="V73" s="15"/>
      <c r="W73" s="15"/>
      <c r="X73" s="15"/>
      <c r="Y73" s="15"/>
      <c r="Z73" s="15"/>
    </row>
    <row r="74" ht="22.5" customHeight="1">
      <c r="A74" s="19">
        <v>10.0</v>
      </c>
      <c r="B74" s="19" t="s">
        <v>326</v>
      </c>
      <c r="C74" s="19" t="s">
        <v>327</v>
      </c>
      <c r="D74" s="20" t="s">
        <v>328</v>
      </c>
      <c r="E74" s="19"/>
      <c r="F74" s="19" t="s">
        <v>196</v>
      </c>
      <c r="G74" s="15"/>
      <c r="H74" s="15"/>
      <c r="I74" s="15"/>
      <c r="J74" s="15"/>
      <c r="K74" s="15"/>
      <c r="L74" s="15"/>
      <c r="M74" s="15"/>
      <c r="N74" s="15"/>
      <c r="O74" s="15"/>
      <c r="P74" s="15"/>
      <c r="Q74" s="15"/>
      <c r="R74" s="15"/>
      <c r="S74" s="15"/>
      <c r="T74" s="15"/>
      <c r="U74" s="15"/>
      <c r="V74" s="15"/>
      <c r="W74" s="15"/>
      <c r="X74" s="15"/>
      <c r="Y74" s="15"/>
      <c r="Z74" s="15"/>
    </row>
    <row r="75" ht="22.5" customHeight="1">
      <c r="A75" s="19">
        <v>10.1</v>
      </c>
      <c r="B75" s="19" t="s">
        <v>326</v>
      </c>
      <c r="C75" s="19" t="s">
        <v>64</v>
      </c>
      <c r="D75" s="20" t="s">
        <v>329</v>
      </c>
      <c r="E75" s="19" t="s">
        <v>330</v>
      </c>
      <c r="F75" s="19" t="s">
        <v>196</v>
      </c>
      <c r="G75" s="15"/>
      <c r="H75" s="15"/>
      <c r="I75" s="15"/>
      <c r="J75" s="15"/>
      <c r="K75" s="15"/>
      <c r="L75" s="15"/>
      <c r="M75" s="15"/>
      <c r="N75" s="15"/>
      <c r="O75" s="15"/>
      <c r="P75" s="15"/>
      <c r="Q75" s="15"/>
      <c r="R75" s="15"/>
      <c r="S75" s="15"/>
      <c r="T75" s="15"/>
      <c r="U75" s="15"/>
      <c r="V75" s="15"/>
      <c r="W75" s="15"/>
      <c r="X75" s="15"/>
      <c r="Y75" s="15"/>
      <c r="Z75" s="15"/>
    </row>
    <row r="76" ht="22.5" customHeight="1">
      <c r="A76" s="19">
        <v>10.2</v>
      </c>
      <c r="B76" s="19" t="s">
        <v>326</v>
      </c>
      <c r="C76" s="19" t="s">
        <v>131</v>
      </c>
      <c r="D76" s="20" t="s">
        <v>331</v>
      </c>
      <c r="E76" s="19" t="s">
        <v>332</v>
      </c>
      <c r="F76" s="19" t="s">
        <v>196</v>
      </c>
      <c r="G76" s="15"/>
      <c r="H76" s="15"/>
      <c r="I76" s="15"/>
      <c r="J76" s="15"/>
      <c r="K76" s="15"/>
      <c r="L76" s="15"/>
      <c r="M76" s="15"/>
      <c r="N76" s="15"/>
      <c r="O76" s="15"/>
      <c r="P76" s="15"/>
      <c r="Q76" s="15"/>
      <c r="R76" s="15"/>
      <c r="S76" s="15"/>
      <c r="T76" s="15"/>
      <c r="U76" s="15"/>
      <c r="V76" s="15"/>
      <c r="W76" s="15"/>
      <c r="X76" s="15"/>
      <c r="Y76" s="15"/>
      <c r="Z76" s="15"/>
    </row>
    <row r="77" ht="22.5" customHeight="1">
      <c r="A77" s="19">
        <v>10.3</v>
      </c>
      <c r="B77" s="19" t="s">
        <v>326</v>
      </c>
      <c r="C77" s="19" t="s">
        <v>73</v>
      </c>
      <c r="D77" s="20" t="s">
        <v>333</v>
      </c>
      <c r="E77" s="19" t="s">
        <v>334</v>
      </c>
      <c r="F77" s="19" t="s">
        <v>196</v>
      </c>
      <c r="G77" s="15"/>
      <c r="H77" s="15"/>
      <c r="I77" s="15"/>
      <c r="J77" s="15"/>
      <c r="K77" s="15"/>
      <c r="L77" s="15"/>
      <c r="M77" s="15"/>
      <c r="N77" s="15"/>
      <c r="O77" s="15"/>
      <c r="P77" s="15"/>
      <c r="Q77" s="15"/>
      <c r="R77" s="15"/>
      <c r="S77" s="15"/>
      <c r="T77" s="15"/>
      <c r="U77" s="15"/>
      <c r="V77" s="15"/>
      <c r="W77" s="15"/>
      <c r="X77" s="15"/>
      <c r="Y77" s="15"/>
      <c r="Z77" s="15"/>
    </row>
    <row r="78" ht="22.5" customHeight="1">
      <c r="A78" s="19">
        <v>10.4</v>
      </c>
      <c r="B78" s="19" t="s">
        <v>326</v>
      </c>
      <c r="C78" s="19" t="s">
        <v>335</v>
      </c>
      <c r="D78" s="20" t="s">
        <v>336</v>
      </c>
      <c r="E78" s="19" t="s">
        <v>337</v>
      </c>
      <c r="F78" s="19" t="s">
        <v>196</v>
      </c>
      <c r="G78" s="15"/>
      <c r="H78" s="15"/>
      <c r="I78" s="15"/>
      <c r="J78" s="15"/>
      <c r="K78" s="15"/>
      <c r="L78" s="15"/>
      <c r="M78" s="15"/>
      <c r="N78" s="15"/>
      <c r="O78" s="15"/>
      <c r="P78" s="15"/>
      <c r="Q78" s="15"/>
      <c r="R78" s="15"/>
      <c r="S78" s="15"/>
      <c r="T78" s="15"/>
      <c r="U78" s="15"/>
      <c r="V78" s="15"/>
      <c r="W78" s="15"/>
      <c r="X78" s="15"/>
      <c r="Y78" s="15"/>
      <c r="Z78" s="15"/>
    </row>
    <row r="79" ht="22.5" customHeight="1">
      <c r="A79" s="19">
        <v>10.5</v>
      </c>
      <c r="B79" s="19" t="s">
        <v>326</v>
      </c>
      <c r="C79" s="19" t="s">
        <v>338</v>
      </c>
      <c r="D79" s="20" t="s">
        <v>339</v>
      </c>
      <c r="E79" s="19"/>
      <c r="F79" s="19" t="s">
        <v>196</v>
      </c>
      <c r="G79" s="15"/>
      <c r="H79" s="15"/>
      <c r="I79" s="15"/>
      <c r="J79" s="15"/>
      <c r="K79" s="15"/>
      <c r="L79" s="15"/>
      <c r="M79" s="15"/>
      <c r="N79" s="15"/>
      <c r="O79" s="15"/>
      <c r="P79" s="15"/>
      <c r="Q79" s="15"/>
      <c r="R79" s="15"/>
      <c r="S79" s="15"/>
      <c r="T79" s="15"/>
      <c r="U79" s="15"/>
      <c r="V79" s="15"/>
      <c r="W79" s="15"/>
      <c r="X79" s="15"/>
      <c r="Y79" s="15"/>
      <c r="Z79" s="15"/>
    </row>
    <row r="80" ht="22.5" customHeight="1">
      <c r="A80" s="19">
        <v>10.6</v>
      </c>
      <c r="B80" s="24" t="s">
        <v>326</v>
      </c>
      <c r="C80" s="19" t="s">
        <v>340</v>
      </c>
      <c r="D80" s="20" t="s">
        <v>341</v>
      </c>
      <c r="E80" s="19"/>
      <c r="F80" s="19" t="s">
        <v>186</v>
      </c>
      <c r="G80" s="15"/>
      <c r="H80" s="15"/>
      <c r="I80" s="15"/>
      <c r="J80" s="15"/>
      <c r="K80" s="15"/>
      <c r="L80" s="15"/>
      <c r="M80" s="15"/>
      <c r="N80" s="15"/>
      <c r="O80" s="15"/>
      <c r="P80" s="15"/>
      <c r="Q80" s="15"/>
      <c r="R80" s="15"/>
      <c r="S80" s="15"/>
      <c r="T80" s="15"/>
      <c r="U80" s="15"/>
      <c r="V80" s="15"/>
      <c r="W80" s="15"/>
      <c r="X80" s="15"/>
      <c r="Y80" s="15"/>
      <c r="Z80" s="15"/>
    </row>
    <row r="81" ht="22.5" customHeight="1">
      <c r="A81" s="18" t="s">
        <v>342</v>
      </c>
      <c r="B81" s="18"/>
      <c r="C81" s="18"/>
      <c r="D81" s="21"/>
      <c r="E81" s="18"/>
      <c r="F81" s="18"/>
      <c r="G81" s="15"/>
      <c r="H81" s="15"/>
      <c r="I81" s="15"/>
      <c r="J81" s="15"/>
      <c r="K81" s="15"/>
      <c r="L81" s="15"/>
      <c r="M81" s="15"/>
      <c r="N81" s="15"/>
      <c r="O81" s="15"/>
      <c r="P81" s="15"/>
      <c r="Q81" s="15"/>
      <c r="R81" s="15"/>
      <c r="S81" s="15"/>
      <c r="T81" s="15"/>
      <c r="U81" s="15"/>
      <c r="V81" s="15"/>
      <c r="W81" s="15"/>
      <c r="X81" s="15"/>
      <c r="Y81" s="15"/>
      <c r="Z81" s="15"/>
    </row>
    <row r="82" ht="22.5" customHeight="1">
      <c r="A82" s="19">
        <v>11.1</v>
      </c>
      <c r="B82" s="19" t="s">
        <v>343</v>
      </c>
      <c r="C82" s="19" t="s">
        <v>344</v>
      </c>
      <c r="D82" s="20" t="s">
        <v>345</v>
      </c>
      <c r="E82" s="19"/>
      <c r="F82" s="19" t="s">
        <v>196</v>
      </c>
      <c r="G82" s="15"/>
      <c r="H82" s="15"/>
      <c r="I82" s="15"/>
      <c r="J82" s="15"/>
      <c r="K82" s="15"/>
      <c r="L82" s="15"/>
      <c r="M82" s="15"/>
      <c r="N82" s="15"/>
      <c r="O82" s="15"/>
      <c r="P82" s="15"/>
      <c r="Q82" s="15"/>
      <c r="R82" s="15"/>
      <c r="S82" s="15"/>
      <c r="T82" s="15"/>
      <c r="U82" s="15"/>
      <c r="V82" s="15"/>
      <c r="W82" s="15"/>
      <c r="X82" s="15"/>
      <c r="Y82" s="15"/>
      <c r="Z82" s="15"/>
    </row>
    <row r="83" ht="22.5" customHeight="1">
      <c r="A83" s="19">
        <v>11.2</v>
      </c>
      <c r="B83" s="19" t="s">
        <v>343</v>
      </c>
      <c r="C83" s="19" t="s">
        <v>346</v>
      </c>
      <c r="D83" s="20" t="s">
        <v>347</v>
      </c>
      <c r="E83" s="19"/>
      <c r="F83" s="19" t="s">
        <v>196</v>
      </c>
      <c r="G83" s="15"/>
      <c r="H83" s="15"/>
      <c r="I83" s="15"/>
      <c r="J83" s="15"/>
      <c r="K83" s="15"/>
      <c r="L83" s="15"/>
      <c r="M83" s="15"/>
      <c r="N83" s="15"/>
      <c r="O83" s="15"/>
      <c r="P83" s="15"/>
      <c r="Q83" s="15"/>
      <c r="R83" s="15"/>
      <c r="S83" s="15"/>
      <c r="T83" s="15"/>
      <c r="U83" s="15"/>
      <c r="V83" s="15"/>
      <c r="W83" s="15"/>
      <c r="X83" s="15"/>
      <c r="Y83" s="15"/>
      <c r="Z83" s="15"/>
    </row>
    <row r="84" ht="22.5" customHeight="1">
      <c r="A84" s="19">
        <v>11.3</v>
      </c>
      <c r="B84" s="19" t="s">
        <v>343</v>
      </c>
      <c r="C84" s="19" t="s">
        <v>348</v>
      </c>
      <c r="D84" s="20" t="s">
        <v>349</v>
      </c>
      <c r="E84" s="19"/>
      <c r="F84" s="19" t="s">
        <v>196</v>
      </c>
      <c r="G84" s="15"/>
      <c r="H84" s="15"/>
      <c r="I84" s="15"/>
      <c r="J84" s="15"/>
      <c r="K84" s="15"/>
      <c r="L84" s="15"/>
      <c r="M84" s="15"/>
      <c r="N84" s="15"/>
      <c r="O84" s="15"/>
      <c r="P84" s="15"/>
      <c r="Q84" s="15"/>
      <c r="R84" s="15"/>
      <c r="S84" s="15"/>
      <c r="T84" s="15"/>
      <c r="U84" s="15"/>
      <c r="V84" s="15"/>
      <c r="W84" s="15"/>
      <c r="X84" s="15"/>
      <c r="Y84" s="15"/>
      <c r="Z84" s="15"/>
    </row>
    <row r="85" ht="22.5" customHeight="1">
      <c r="A85" s="19">
        <v>11.4</v>
      </c>
      <c r="B85" s="19" t="s">
        <v>343</v>
      </c>
      <c r="C85" s="19" t="s">
        <v>350</v>
      </c>
      <c r="D85" s="20" t="s">
        <v>351</v>
      </c>
      <c r="E85" s="19"/>
      <c r="F85" s="19" t="s">
        <v>196</v>
      </c>
      <c r="G85" s="15"/>
      <c r="H85" s="15"/>
      <c r="I85" s="15"/>
      <c r="J85" s="15"/>
      <c r="K85" s="15"/>
      <c r="L85" s="15"/>
      <c r="M85" s="15"/>
      <c r="N85" s="15"/>
      <c r="O85" s="15"/>
      <c r="P85" s="15"/>
      <c r="Q85" s="15"/>
      <c r="R85" s="15"/>
      <c r="S85" s="15"/>
      <c r="T85" s="15"/>
      <c r="U85" s="15"/>
      <c r="V85" s="15"/>
      <c r="W85" s="15"/>
      <c r="X85" s="15"/>
      <c r="Y85" s="15"/>
      <c r="Z85" s="15"/>
    </row>
    <row r="86" ht="22.5" customHeight="1">
      <c r="A86" s="19">
        <v>11.5</v>
      </c>
      <c r="B86" s="19" t="s">
        <v>343</v>
      </c>
      <c r="C86" s="19" t="s">
        <v>352</v>
      </c>
      <c r="D86" s="20" t="s">
        <v>353</v>
      </c>
      <c r="E86" s="19"/>
      <c r="F86" s="19" t="s">
        <v>196</v>
      </c>
      <c r="G86" s="15"/>
      <c r="H86" s="15"/>
      <c r="I86" s="15"/>
      <c r="J86" s="15"/>
      <c r="K86" s="15"/>
      <c r="L86" s="15"/>
      <c r="M86" s="15"/>
      <c r="N86" s="15"/>
      <c r="O86" s="15"/>
      <c r="P86" s="15"/>
      <c r="Q86" s="15"/>
      <c r="R86" s="15"/>
      <c r="S86" s="15"/>
      <c r="T86" s="15"/>
      <c r="U86" s="15"/>
      <c r="V86" s="15"/>
      <c r="W86" s="15"/>
      <c r="X86" s="15"/>
      <c r="Y86" s="15"/>
      <c r="Z86" s="15"/>
    </row>
    <row r="87" ht="22.5" customHeight="1">
      <c r="A87" s="19">
        <v>11.6</v>
      </c>
      <c r="B87" s="19" t="s">
        <v>343</v>
      </c>
      <c r="C87" s="19" t="s">
        <v>354</v>
      </c>
      <c r="D87" s="20" t="s">
        <v>355</v>
      </c>
      <c r="E87" s="19"/>
      <c r="F87" s="19" t="s">
        <v>196</v>
      </c>
      <c r="G87" s="15"/>
      <c r="H87" s="15"/>
      <c r="I87" s="15"/>
      <c r="J87" s="15"/>
      <c r="K87" s="15"/>
      <c r="L87" s="15"/>
      <c r="M87" s="15"/>
      <c r="N87" s="15"/>
      <c r="O87" s="15"/>
      <c r="P87" s="15"/>
      <c r="Q87" s="15"/>
      <c r="R87" s="15"/>
      <c r="S87" s="15"/>
      <c r="T87" s="15"/>
      <c r="U87" s="15"/>
      <c r="V87" s="15"/>
      <c r="W87" s="15"/>
      <c r="X87" s="15"/>
      <c r="Y87" s="15"/>
      <c r="Z87" s="15"/>
    </row>
    <row r="88" ht="22.5" customHeight="1">
      <c r="A88" s="19">
        <v>11.7</v>
      </c>
      <c r="B88" s="19" t="s">
        <v>343</v>
      </c>
      <c r="C88" s="19" t="s">
        <v>356</v>
      </c>
      <c r="D88" s="20" t="s">
        <v>357</v>
      </c>
      <c r="E88" s="19"/>
      <c r="F88" s="19" t="s">
        <v>196</v>
      </c>
      <c r="G88" s="15"/>
      <c r="H88" s="15"/>
      <c r="I88" s="15"/>
      <c r="J88" s="15"/>
      <c r="K88" s="15"/>
      <c r="L88" s="15"/>
      <c r="M88" s="15"/>
      <c r="N88" s="15"/>
      <c r="O88" s="15"/>
      <c r="P88" s="15"/>
      <c r="Q88" s="15"/>
      <c r="R88" s="15"/>
      <c r="S88" s="15"/>
      <c r="T88" s="15"/>
      <c r="U88" s="15"/>
      <c r="V88" s="15"/>
      <c r="W88" s="15"/>
      <c r="X88" s="15"/>
      <c r="Y88" s="15"/>
      <c r="Z88" s="15"/>
    </row>
    <row r="89" ht="22.5" customHeight="1">
      <c r="A89" s="19">
        <v>11.8</v>
      </c>
      <c r="B89" s="19" t="s">
        <v>343</v>
      </c>
      <c r="C89" s="19" t="s">
        <v>358</v>
      </c>
      <c r="D89" s="20" t="s">
        <v>359</v>
      </c>
      <c r="E89" s="19" t="s">
        <v>360</v>
      </c>
      <c r="F89" s="19" t="s">
        <v>186</v>
      </c>
      <c r="G89" s="15"/>
      <c r="H89" s="15"/>
      <c r="I89" s="15"/>
      <c r="J89" s="15"/>
      <c r="K89" s="15"/>
      <c r="L89" s="15"/>
      <c r="M89" s="15"/>
      <c r="N89" s="15"/>
      <c r="O89" s="15"/>
      <c r="P89" s="15"/>
      <c r="Q89" s="15"/>
      <c r="R89" s="15"/>
      <c r="S89" s="15"/>
      <c r="T89" s="15"/>
      <c r="U89" s="15"/>
      <c r="V89" s="15"/>
      <c r="W89" s="15"/>
      <c r="X89" s="15"/>
      <c r="Y89" s="15"/>
      <c r="Z89" s="15"/>
    </row>
    <row r="90" ht="22.5" customHeight="1">
      <c r="A90" s="18" t="s">
        <v>361</v>
      </c>
      <c r="B90" s="18"/>
      <c r="C90" s="18"/>
      <c r="D90" s="21"/>
      <c r="E90" s="18"/>
      <c r="F90" s="18"/>
      <c r="G90" s="15"/>
      <c r="H90" s="15"/>
      <c r="I90" s="15"/>
      <c r="J90" s="15"/>
      <c r="K90" s="15"/>
      <c r="L90" s="15"/>
      <c r="M90" s="15"/>
      <c r="N90" s="15"/>
      <c r="O90" s="15"/>
      <c r="P90" s="15"/>
      <c r="Q90" s="15"/>
      <c r="R90" s="15"/>
      <c r="S90" s="15"/>
      <c r="T90" s="15"/>
      <c r="U90" s="15"/>
      <c r="V90" s="15"/>
      <c r="W90" s="15"/>
      <c r="X90" s="15"/>
      <c r="Y90" s="15"/>
      <c r="Z90" s="15"/>
    </row>
    <row r="91" ht="22.5" customHeight="1">
      <c r="A91" s="19">
        <v>13.1</v>
      </c>
      <c r="B91" s="19" t="s">
        <v>362</v>
      </c>
      <c r="C91" s="19" t="s">
        <v>363</v>
      </c>
      <c r="D91" s="20" t="s">
        <v>364</v>
      </c>
      <c r="E91" s="19"/>
      <c r="F91" s="19" t="s">
        <v>186</v>
      </c>
      <c r="G91" s="15"/>
      <c r="H91" s="15"/>
      <c r="I91" s="15"/>
      <c r="J91" s="15"/>
      <c r="K91" s="15"/>
      <c r="L91" s="15"/>
      <c r="M91" s="15"/>
      <c r="N91" s="15"/>
      <c r="O91" s="15"/>
      <c r="P91" s="15"/>
      <c r="Q91" s="15"/>
      <c r="R91" s="15"/>
      <c r="S91" s="15"/>
      <c r="T91" s="15"/>
      <c r="U91" s="15"/>
      <c r="V91" s="15"/>
      <c r="W91" s="15"/>
      <c r="X91" s="15"/>
      <c r="Y91" s="15"/>
      <c r="Z91" s="15"/>
    </row>
    <row r="92" ht="22.5" customHeight="1">
      <c r="A92" s="19">
        <v>13.2</v>
      </c>
      <c r="B92" s="19" t="s">
        <v>362</v>
      </c>
      <c r="C92" s="19" t="s">
        <v>365</v>
      </c>
      <c r="D92" s="20" t="s">
        <v>366</v>
      </c>
      <c r="E92" s="19"/>
      <c r="F92" s="19" t="s">
        <v>186</v>
      </c>
      <c r="G92" s="15"/>
      <c r="H92" s="15"/>
      <c r="I92" s="15"/>
      <c r="J92" s="15"/>
      <c r="K92" s="15"/>
      <c r="L92" s="15"/>
      <c r="M92" s="15"/>
      <c r="N92" s="15"/>
      <c r="O92" s="15"/>
      <c r="P92" s="15"/>
      <c r="Q92" s="15"/>
      <c r="R92" s="15"/>
      <c r="S92" s="15"/>
      <c r="T92" s="15"/>
      <c r="U92" s="15"/>
      <c r="V92" s="15"/>
      <c r="W92" s="15"/>
      <c r="X92" s="15"/>
      <c r="Y92" s="15"/>
      <c r="Z92" s="15"/>
    </row>
    <row r="93" ht="22.5" customHeight="1">
      <c r="A93" s="19">
        <v>13.3</v>
      </c>
      <c r="B93" s="19" t="s">
        <v>362</v>
      </c>
      <c r="C93" s="19" t="s">
        <v>88</v>
      </c>
      <c r="D93" s="20" t="s">
        <v>367</v>
      </c>
      <c r="E93" s="19"/>
      <c r="F93" s="19" t="s">
        <v>186</v>
      </c>
      <c r="G93" s="15"/>
      <c r="H93" s="15"/>
      <c r="I93" s="15"/>
      <c r="J93" s="15"/>
      <c r="K93" s="15"/>
      <c r="L93" s="15"/>
      <c r="M93" s="15"/>
      <c r="N93" s="15"/>
      <c r="O93" s="15"/>
      <c r="P93" s="15"/>
      <c r="Q93" s="15"/>
      <c r="R93" s="15"/>
      <c r="S93" s="15"/>
      <c r="T93" s="15"/>
      <c r="U93" s="15"/>
      <c r="V93" s="15"/>
      <c r="W93" s="15"/>
      <c r="X93" s="15"/>
      <c r="Y93" s="15"/>
      <c r="Z93" s="15"/>
    </row>
    <row r="94" ht="22.5" customHeight="1">
      <c r="A94" s="19">
        <v>13.4</v>
      </c>
      <c r="B94" s="19" t="s">
        <v>362</v>
      </c>
      <c r="C94" s="19" t="s">
        <v>368</v>
      </c>
      <c r="D94" s="20" t="s">
        <v>369</v>
      </c>
      <c r="E94" s="19"/>
      <c r="F94" s="19" t="s">
        <v>186</v>
      </c>
      <c r="G94" s="15"/>
      <c r="H94" s="15"/>
      <c r="I94" s="15"/>
      <c r="J94" s="15"/>
      <c r="K94" s="15"/>
      <c r="L94" s="15"/>
      <c r="M94" s="15"/>
      <c r="N94" s="15"/>
      <c r="O94" s="15"/>
      <c r="P94" s="15"/>
      <c r="Q94" s="15"/>
      <c r="R94" s="15"/>
      <c r="S94" s="15"/>
      <c r="T94" s="15"/>
      <c r="U94" s="15"/>
      <c r="V94" s="15"/>
      <c r="W94" s="15"/>
      <c r="X94" s="15"/>
      <c r="Y94" s="15"/>
      <c r="Z94" s="15"/>
    </row>
    <row r="95" ht="22.5" customHeight="1">
      <c r="A95" s="19">
        <v>13.5</v>
      </c>
      <c r="B95" s="19" t="s">
        <v>362</v>
      </c>
      <c r="C95" s="19" t="s">
        <v>370</v>
      </c>
      <c r="D95" s="20" t="s">
        <v>371</v>
      </c>
      <c r="E95" s="19"/>
      <c r="F95" s="19" t="s">
        <v>186</v>
      </c>
      <c r="G95" s="15"/>
      <c r="H95" s="15"/>
      <c r="I95" s="15"/>
      <c r="J95" s="15"/>
      <c r="K95" s="15"/>
      <c r="L95" s="15"/>
      <c r="M95" s="15"/>
      <c r="N95" s="15"/>
      <c r="O95" s="15"/>
      <c r="P95" s="15"/>
      <c r="Q95" s="15"/>
      <c r="R95" s="15"/>
      <c r="S95" s="15"/>
      <c r="T95" s="15"/>
      <c r="U95" s="15"/>
      <c r="V95" s="15"/>
      <c r="W95" s="15"/>
      <c r="X95" s="15"/>
      <c r="Y95" s="15"/>
      <c r="Z95" s="15"/>
    </row>
    <row r="96" ht="22.5" customHeight="1">
      <c r="A96" s="19">
        <v>13.6</v>
      </c>
      <c r="B96" s="19" t="s">
        <v>362</v>
      </c>
      <c r="C96" s="19" t="s">
        <v>50</v>
      </c>
      <c r="D96" s="20" t="s">
        <v>372</v>
      </c>
      <c r="E96" s="19"/>
      <c r="F96" s="19" t="s">
        <v>186</v>
      </c>
      <c r="G96" s="15"/>
      <c r="H96" s="15"/>
      <c r="I96" s="15"/>
      <c r="J96" s="15"/>
      <c r="K96" s="15"/>
      <c r="L96" s="15"/>
      <c r="M96" s="15"/>
      <c r="N96" s="15"/>
      <c r="O96" s="15"/>
      <c r="P96" s="15"/>
      <c r="Q96" s="15"/>
      <c r="R96" s="15"/>
      <c r="S96" s="15"/>
      <c r="T96" s="15"/>
      <c r="U96" s="15"/>
      <c r="V96" s="15"/>
      <c r="W96" s="15"/>
      <c r="X96" s="15"/>
      <c r="Y96" s="15"/>
      <c r="Z96" s="15"/>
    </row>
    <row r="97" ht="22.5" customHeight="1">
      <c r="A97" s="19">
        <v>13.7</v>
      </c>
      <c r="B97" s="19" t="s">
        <v>362</v>
      </c>
      <c r="C97" s="19" t="s">
        <v>373</v>
      </c>
      <c r="D97" s="20" t="s">
        <v>374</v>
      </c>
      <c r="E97" s="19"/>
      <c r="F97" s="19" t="s">
        <v>186</v>
      </c>
      <c r="G97" s="15"/>
      <c r="H97" s="15"/>
      <c r="I97" s="15"/>
      <c r="J97" s="15"/>
      <c r="K97" s="15"/>
      <c r="L97" s="15"/>
      <c r="M97" s="15"/>
      <c r="N97" s="15"/>
      <c r="O97" s="15"/>
      <c r="P97" s="15"/>
      <c r="Q97" s="15"/>
      <c r="R97" s="15"/>
      <c r="S97" s="15"/>
      <c r="T97" s="15"/>
      <c r="U97" s="15"/>
      <c r="V97" s="15"/>
      <c r="W97" s="15"/>
      <c r="X97" s="15"/>
      <c r="Y97" s="15"/>
      <c r="Z97" s="15"/>
    </row>
    <row r="98" ht="22.5" customHeight="1">
      <c r="A98" s="19">
        <v>13.8</v>
      </c>
      <c r="B98" s="19" t="s">
        <v>362</v>
      </c>
      <c r="C98" s="19" t="s">
        <v>375</v>
      </c>
      <c r="D98" s="20" t="s">
        <v>376</v>
      </c>
      <c r="E98" s="19" t="s">
        <v>377</v>
      </c>
      <c r="F98" s="19" t="s">
        <v>186</v>
      </c>
      <c r="G98" s="15"/>
      <c r="H98" s="15"/>
      <c r="I98" s="15"/>
      <c r="J98" s="15"/>
      <c r="K98" s="15"/>
      <c r="L98" s="15"/>
      <c r="M98" s="15"/>
      <c r="N98" s="15"/>
      <c r="O98" s="15"/>
      <c r="P98" s="15"/>
      <c r="Q98" s="15"/>
      <c r="R98" s="15"/>
      <c r="S98" s="15"/>
      <c r="T98" s="15"/>
      <c r="U98" s="15"/>
      <c r="V98" s="15"/>
      <c r="W98" s="15"/>
      <c r="X98" s="15"/>
      <c r="Y98" s="15"/>
      <c r="Z98" s="15"/>
    </row>
    <row r="99" ht="22.5" customHeight="1">
      <c r="A99" s="19">
        <v>13.9</v>
      </c>
      <c r="B99" s="19" t="s">
        <v>362</v>
      </c>
      <c r="C99" s="19" t="s">
        <v>378</v>
      </c>
      <c r="D99" s="20" t="s">
        <v>379</v>
      </c>
      <c r="E99" s="19" t="s">
        <v>380</v>
      </c>
      <c r="F99" s="19" t="s">
        <v>186</v>
      </c>
      <c r="G99" s="15"/>
      <c r="H99" s="15"/>
      <c r="I99" s="15"/>
      <c r="J99" s="15"/>
      <c r="K99" s="15"/>
      <c r="L99" s="15"/>
      <c r="M99" s="15"/>
      <c r="N99" s="15"/>
      <c r="O99" s="15"/>
      <c r="P99" s="15"/>
      <c r="Q99" s="15"/>
      <c r="R99" s="15"/>
      <c r="S99" s="15"/>
      <c r="T99" s="15"/>
      <c r="U99" s="15"/>
      <c r="V99" s="15"/>
      <c r="W99" s="15"/>
      <c r="X99" s="15"/>
      <c r="Y99" s="15"/>
      <c r="Z99" s="15"/>
    </row>
    <row r="100" ht="22.5" customHeight="1">
      <c r="A100" s="18" t="s">
        <v>381</v>
      </c>
      <c r="B100" s="18"/>
      <c r="C100" s="18"/>
      <c r="D100" s="18"/>
      <c r="E100" s="18"/>
      <c r="F100" s="18"/>
      <c r="G100" s="15"/>
      <c r="H100" s="15"/>
      <c r="I100" s="15"/>
      <c r="J100" s="15"/>
      <c r="K100" s="15"/>
      <c r="L100" s="15"/>
      <c r="M100" s="15"/>
      <c r="N100" s="15"/>
      <c r="O100" s="15"/>
      <c r="P100" s="15"/>
      <c r="Q100" s="15"/>
      <c r="R100" s="15"/>
      <c r="S100" s="15"/>
      <c r="T100" s="15"/>
      <c r="U100" s="15"/>
      <c r="V100" s="15"/>
      <c r="W100" s="15"/>
      <c r="X100" s="15"/>
      <c r="Y100" s="15"/>
      <c r="Z100" s="15"/>
    </row>
    <row r="101" ht="22.5" customHeight="1">
      <c r="A101" s="19">
        <v>14.1</v>
      </c>
      <c r="B101" s="19" t="s">
        <v>382</v>
      </c>
      <c r="C101" s="19" t="s">
        <v>383</v>
      </c>
      <c r="D101" s="20" t="s">
        <v>384</v>
      </c>
      <c r="E101" s="19"/>
      <c r="F101" s="19" t="s">
        <v>196</v>
      </c>
      <c r="G101" s="15"/>
      <c r="H101" s="15"/>
      <c r="I101" s="15"/>
      <c r="J101" s="15"/>
      <c r="K101" s="15"/>
      <c r="L101" s="15"/>
      <c r="M101" s="15"/>
      <c r="N101" s="15"/>
      <c r="O101" s="15"/>
      <c r="P101" s="15"/>
      <c r="Q101" s="15"/>
      <c r="R101" s="15"/>
      <c r="S101" s="15"/>
      <c r="T101" s="15"/>
      <c r="U101" s="15"/>
      <c r="V101" s="15"/>
      <c r="W101" s="15"/>
      <c r="X101" s="15"/>
      <c r="Y101" s="15"/>
      <c r="Z101" s="15"/>
    </row>
    <row r="102" ht="22.5" customHeight="1">
      <c r="A102" s="19">
        <v>14.2</v>
      </c>
      <c r="B102" s="19" t="s">
        <v>382</v>
      </c>
      <c r="C102" s="19" t="s">
        <v>385</v>
      </c>
      <c r="D102" s="20" t="s">
        <v>386</v>
      </c>
      <c r="E102" s="19" t="s">
        <v>387</v>
      </c>
      <c r="F102" s="19" t="s">
        <v>200</v>
      </c>
      <c r="G102" s="15"/>
      <c r="H102" s="15"/>
      <c r="I102" s="15"/>
      <c r="J102" s="15"/>
      <c r="K102" s="15"/>
      <c r="L102" s="15"/>
      <c r="M102" s="15"/>
      <c r="N102" s="15"/>
      <c r="O102" s="15"/>
      <c r="P102" s="15"/>
      <c r="Q102" s="15"/>
      <c r="R102" s="15"/>
      <c r="S102" s="15"/>
      <c r="T102" s="15"/>
      <c r="U102" s="15"/>
      <c r="V102" s="15"/>
      <c r="W102" s="15"/>
      <c r="X102" s="15"/>
      <c r="Y102" s="15"/>
      <c r="Z102" s="15"/>
    </row>
    <row r="103" ht="22.5" customHeight="1">
      <c r="A103" s="19">
        <v>14.3</v>
      </c>
      <c r="B103" s="19" t="s">
        <v>382</v>
      </c>
      <c r="C103" s="19" t="s">
        <v>388</v>
      </c>
      <c r="D103" s="20" t="s">
        <v>389</v>
      </c>
      <c r="E103" s="19" t="s">
        <v>390</v>
      </c>
      <c r="F103" s="19" t="s">
        <v>186</v>
      </c>
      <c r="G103" s="15"/>
      <c r="H103" s="15"/>
      <c r="I103" s="15"/>
      <c r="J103" s="15"/>
      <c r="K103" s="15"/>
      <c r="L103" s="15"/>
      <c r="M103" s="15"/>
      <c r="N103" s="15"/>
      <c r="O103" s="15"/>
      <c r="P103" s="15"/>
      <c r="Q103" s="15"/>
      <c r="R103" s="15"/>
      <c r="S103" s="15"/>
      <c r="T103" s="15"/>
      <c r="U103" s="15"/>
      <c r="V103" s="15"/>
      <c r="W103" s="15"/>
      <c r="X103" s="15"/>
      <c r="Y103" s="15"/>
      <c r="Z103" s="15"/>
    </row>
    <row r="104" ht="22.5" customHeight="1">
      <c r="A104" s="19">
        <v>14.4</v>
      </c>
      <c r="B104" s="19" t="s">
        <v>382</v>
      </c>
      <c r="C104" s="19" t="s">
        <v>391</v>
      </c>
      <c r="D104" s="20" t="s">
        <v>392</v>
      </c>
      <c r="E104" s="19" t="s">
        <v>393</v>
      </c>
      <c r="F104" s="19" t="s">
        <v>200</v>
      </c>
      <c r="G104" s="15"/>
      <c r="H104" s="15"/>
      <c r="I104" s="15"/>
      <c r="J104" s="15"/>
      <c r="K104" s="15"/>
      <c r="L104" s="15"/>
      <c r="M104" s="15"/>
      <c r="N104" s="15"/>
      <c r="O104" s="15"/>
      <c r="P104" s="15"/>
      <c r="Q104" s="15"/>
      <c r="R104" s="15"/>
      <c r="S104" s="15"/>
      <c r="T104" s="15"/>
      <c r="U104" s="15"/>
      <c r="V104" s="15"/>
      <c r="W104" s="15"/>
      <c r="X104" s="15"/>
      <c r="Y104" s="15"/>
      <c r="Z104" s="15"/>
    </row>
    <row r="105" ht="22.5" customHeight="1">
      <c r="A105" s="19">
        <v>14.5</v>
      </c>
      <c r="B105" s="19" t="s">
        <v>382</v>
      </c>
      <c r="C105" s="19" t="s">
        <v>394</v>
      </c>
      <c r="D105" s="20" t="s">
        <v>395</v>
      </c>
      <c r="E105" s="19"/>
      <c r="F105" s="19" t="s">
        <v>200</v>
      </c>
      <c r="G105" s="15"/>
      <c r="H105" s="15"/>
      <c r="I105" s="15"/>
      <c r="J105" s="15"/>
      <c r="K105" s="15"/>
      <c r="L105" s="15"/>
      <c r="M105" s="15"/>
      <c r="N105" s="15"/>
      <c r="O105" s="15"/>
      <c r="P105" s="15"/>
      <c r="Q105" s="15"/>
      <c r="R105" s="15"/>
      <c r="S105" s="15"/>
      <c r="T105" s="15"/>
      <c r="U105" s="15"/>
      <c r="V105" s="15"/>
      <c r="W105" s="15"/>
      <c r="X105" s="15"/>
      <c r="Y105" s="15"/>
      <c r="Z105" s="15"/>
    </row>
    <row r="106" ht="22.5" customHeight="1">
      <c r="A106" s="19">
        <v>14.6</v>
      </c>
      <c r="B106" s="19" t="s">
        <v>382</v>
      </c>
      <c r="C106" s="19" t="s">
        <v>396</v>
      </c>
      <c r="D106" s="20" t="s">
        <v>397</v>
      </c>
      <c r="E106" s="19"/>
      <c r="F106" s="19" t="s">
        <v>186</v>
      </c>
      <c r="G106" s="15"/>
      <c r="H106" s="15"/>
      <c r="I106" s="15"/>
      <c r="J106" s="15"/>
      <c r="K106" s="15"/>
      <c r="L106" s="15"/>
      <c r="M106" s="15"/>
      <c r="N106" s="15"/>
      <c r="O106" s="15"/>
      <c r="P106" s="15"/>
      <c r="Q106" s="15"/>
      <c r="R106" s="15"/>
      <c r="S106" s="15"/>
      <c r="T106" s="15"/>
      <c r="U106" s="15"/>
      <c r="V106" s="15"/>
      <c r="W106" s="15"/>
      <c r="X106" s="15"/>
      <c r="Y106" s="15"/>
      <c r="Z106" s="15"/>
    </row>
    <row r="107" ht="22.5" customHeight="1">
      <c r="A107" s="19">
        <v>14.7</v>
      </c>
      <c r="B107" s="19" t="s">
        <v>382</v>
      </c>
      <c r="C107" s="19" t="s">
        <v>398</v>
      </c>
      <c r="D107" s="20" t="s">
        <v>399</v>
      </c>
      <c r="E107" s="19"/>
      <c r="F107" s="19" t="s">
        <v>196</v>
      </c>
      <c r="G107" s="15"/>
      <c r="H107" s="15"/>
      <c r="I107" s="15"/>
      <c r="J107" s="15"/>
      <c r="K107" s="15"/>
      <c r="L107" s="15"/>
      <c r="M107" s="15"/>
      <c r="N107" s="15"/>
      <c r="O107" s="15"/>
      <c r="P107" s="15"/>
      <c r="Q107" s="15"/>
      <c r="R107" s="15"/>
      <c r="S107" s="15"/>
      <c r="T107" s="15"/>
      <c r="U107" s="15"/>
      <c r="V107" s="15"/>
      <c r="W107" s="15"/>
      <c r="X107" s="15"/>
      <c r="Y107" s="15"/>
      <c r="Z107" s="15"/>
    </row>
    <row r="108" ht="22.5" customHeight="1">
      <c r="A108" s="19">
        <v>14.8</v>
      </c>
      <c r="B108" s="19" t="s">
        <v>382</v>
      </c>
      <c r="C108" s="19" t="s">
        <v>53</v>
      </c>
      <c r="D108" s="20" t="s">
        <v>400</v>
      </c>
      <c r="E108" s="19" t="s">
        <v>401</v>
      </c>
      <c r="F108" s="19" t="s">
        <v>186</v>
      </c>
      <c r="G108" s="15"/>
      <c r="H108" s="15"/>
      <c r="I108" s="15"/>
      <c r="J108" s="15"/>
      <c r="K108" s="15"/>
      <c r="L108" s="15"/>
      <c r="M108" s="15"/>
      <c r="N108" s="15"/>
      <c r="O108" s="15"/>
      <c r="P108" s="15"/>
      <c r="Q108" s="15"/>
      <c r="R108" s="15"/>
      <c r="S108" s="15"/>
      <c r="T108" s="15"/>
      <c r="U108" s="15"/>
      <c r="V108" s="15"/>
      <c r="W108" s="15"/>
      <c r="X108" s="15"/>
      <c r="Y108" s="15"/>
      <c r="Z108" s="15"/>
    </row>
    <row r="109" ht="22.5" customHeight="1">
      <c r="A109" s="19">
        <v>14.9</v>
      </c>
      <c r="B109" s="24" t="s">
        <v>382</v>
      </c>
      <c r="C109" s="24" t="s">
        <v>402</v>
      </c>
      <c r="D109" s="20" t="s">
        <v>403</v>
      </c>
      <c r="E109" s="19" t="s">
        <v>404</v>
      </c>
      <c r="F109" s="19" t="s">
        <v>186</v>
      </c>
      <c r="G109" s="15"/>
      <c r="H109" s="15"/>
      <c r="I109" s="15"/>
      <c r="J109" s="15"/>
      <c r="K109" s="15"/>
      <c r="L109" s="15"/>
      <c r="M109" s="15"/>
      <c r="N109" s="15"/>
      <c r="O109" s="15"/>
      <c r="P109" s="15"/>
      <c r="Q109" s="15"/>
      <c r="R109" s="15"/>
      <c r="S109" s="15"/>
      <c r="T109" s="15"/>
      <c r="U109" s="15"/>
      <c r="V109" s="15"/>
      <c r="W109" s="15"/>
      <c r="X109" s="15"/>
      <c r="Y109" s="15"/>
      <c r="Z109" s="15"/>
    </row>
    <row r="110" ht="22.5" customHeight="1">
      <c r="A110" s="18" t="s">
        <v>405</v>
      </c>
      <c r="B110" s="18"/>
      <c r="C110" s="18"/>
      <c r="D110" s="18"/>
      <c r="E110" s="18"/>
      <c r="F110" s="18"/>
      <c r="G110" s="15"/>
      <c r="H110" s="15"/>
      <c r="I110" s="15"/>
      <c r="J110" s="15"/>
      <c r="K110" s="15"/>
      <c r="L110" s="15"/>
      <c r="M110" s="15"/>
      <c r="N110" s="15"/>
      <c r="O110" s="15"/>
      <c r="P110" s="15"/>
      <c r="Q110" s="15"/>
      <c r="R110" s="15"/>
      <c r="S110" s="15"/>
      <c r="T110" s="15"/>
      <c r="U110" s="15"/>
      <c r="V110" s="15"/>
      <c r="W110" s="15"/>
      <c r="X110" s="15"/>
      <c r="Y110" s="15"/>
      <c r="Z110" s="15"/>
    </row>
    <row r="111" ht="22.5" customHeight="1">
      <c r="A111" s="19">
        <v>15.1</v>
      </c>
      <c r="B111" s="19" t="s">
        <v>406</v>
      </c>
      <c r="C111" s="19" t="s">
        <v>407</v>
      </c>
      <c r="D111" s="20" t="s">
        <v>408</v>
      </c>
      <c r="E111" s="19" t="s">
        <v>409</v>
      </c>
      <c r="F111" s="19" t="s">
        <v>186</v>
      </c>
      <c r="G111" s="15"/>
      <c r="H111" s="15"/>
      <c r="I111" s="15"/>
      <c r="J111" s="15"/>
      <c r="K111" s="15"/>
      <c r="L111" s="15"/>
      <c r="M111" s="15"/>
      <c r="N111" s="15"/>
      <c r="O111" s="15"/>
      <c r="P111" s="15"/>
      <c r="Q111" s="15"/>
      <c r="R111" s="15"/>
      <c r="S111" s="15"/>
      <c r="T111" s="15"/>
      <c r="U111" s="15"/>
      <c r="V111" s="15"/>
      <c r="W111" s="15"/>
      <c r="X111" s="15"/>
      <c r="Y111" s="15"/>
      <c r="Z111" s="15"/>
    </row>
    <row r="112" ht="22.5" customHeight="1">
      <c r="A112" s="19">
        <v>15.2</v>
      </c>
      <c r="B112" s="19" t="s">
        <v>406</v>
      </c>
      <c r="C112" s="19" t="s">
        <v>410</v>
      </c>
      <c r="D112" s="20" t="s">
        <v>411</v>
      </c>
      <c r="E112" s="19" t="s">
        <v>412</v>
      </c>
      <c r="F112" s="19" t="s">
        <v>186</v>
      </c>
      <c r="G112" s="15"/>
      <c r="H112" s="15"/>
      <c r="I112" s="15"/>
      <c r="J112" s="15"/>
      <c r="K112" s="15"/>
      <c r="L112" s="15"/>
      <c r="M112" s="15"/>
      <c r="N112" s="15"/>
      <c r="O112" s="15"/>
      <c r="P112" s="15"/>
      <c r="Q112" s="15"/>
      <c r="R112" s="15"/>
      <c r="S112" s="15"/>
      <c r="T112" s="15"/>
      <c r="U112" s="15"/>
      <c r="V112" s="15"/>
      <c r="W112" s="15"/>
      <c r="X112" s="15"/>
      <c r="Y112" s="15"/>
      <c r="Z112" s="15"/>
    </row>
    <row r="113" ht="22.5" customHeight="1">
      <c r="A113" s="19">
        <v>15.3</v>
      </c>
      <c r="B113" s="19" t="s">
        <v>406</v>
      </c>
      <c r="C113" s="19" t="s">
        <v>413</v>
      </c>
      <c r="D113" s="20" t="s">
        <v>414</v>
      </c>
      <c r="E113" s="19" t="s">
        <v>415</v>
      </c>
      <c r="F113" s="19" t="s">
        <v>186</v>
      </c>
      <c r="G113" s="15"/>
      <c r="H113" s="15"/>
      <c r="I113" s="15"/>
      <c r="J113" s="15"/>
      <c r="K113" s="15"/>
      <c r="L113" s="15"/>
      <c r="M113" s="15"/>
      <c r="N113" s="15"/>
      <c r="O113" s="15"/>
      <c r="P113" s="15"/>
      <c r="Q113" s="15"/>
      <c r="R113" s="15"/>
      <c r="S113" s="15"/>
      <c r="T113" s="15"/>
      <c r="U113" s="15"/>
      <c r="V113" s="15"/>
      <c r="W113" s="15"/>
      <c r="X113" s="15"/>
      <c r="Y113" s="15"/>
      <c r="Z113" s="15"/>
    </row>
    <row r="114" ht="22.5" customHeight="1">
      <c r="A114" s="19">
        <v>15.4</v>
      </c>
      <c r="B114" s="19" t="s">
        <v>406</v>
      </c>
      <c r="C114" s="19" t="s">
        <v>416</v>
      </c>
      <c r="D114" s="20" t="s">
        <v>417</v>
      </c>
      <c r="E114" s="19" t="s">
        <v>418</v>
      </c>
      <c r="F114" s="19" t="s">
        <v>186</v>
      </c>
      <c r="G114" s="15"/>
      <c r="H114" s="15"/>
      <c r="I114" s="15"/>
      <c r="J114" s="15"/>
      <c r="K114" s="15"/>
      <c r="L114" s="15"/>
      <c r="M114" s="15"/>
      <c r="N114" s="15"/>
      <c r="O114" s="15"/>
      <c r="P114" s="15"/>
      <c r="Q114" s="15"/>
      <c r="R114" s="15"/>
      <c r="S114" s="15"/>
      <c r="T114" s="15"/>
      <c r="U114" s="15"/>
      <c r="V114" s="15"/>
      <c r="W114" s="15"/>
      <c r="X114" s="15"/>
      <c r="Y114" s="15"/>
      <c r="Z114" s="15"/>
    </row>
    <row r="115" ht="22.5" customHeight="1">
      <c r="A115" s="19">
        <v>15.5</v>
      </c>
      <c r="B115" s="19" t="s">
        <v>406</v>
      </c>
      <c r="C115" s="19" t="s">
        <v>419</v>
      </c>
      <c r="D115" s="20" t="s">
        <v>420</v>
      </c>
      <c r="E115" s="19" t="s">
        <v>421</v>
      </c>
      <c r="F115" s="19" t="s">
        <v>200</v>
      </c>
      <c r="G115" s="15"/>
      <c r="H115" s="15"/>
      <c r="I115" s="15"/>
      <c r="J115" s="15"/>
      <c r="K115" s="15"/>
      <c r="L115" s="15"/>
      <c r="M115" s="15"/>
      <c r="N115" s="15"/>
      <c r="O115" s="15"/>
      <c r="P115" s="15"/>
      <c r="Q115" s="15"/>
      <c r="R115" s="15"/>
      <c r="S115" s="15"/>
      <c r="T115" s="15"/>
      <c r="U115" s="15"/>
      <c r="V115" s="15"/>
      <c r="W115" s="15"/>
      <c r="X115" s="15"/>
      <c r="Y115" s="15"/>
      <c r="Z115" s="15"/>
    </row>
    <row r="116" ht="22.5" customHeight="1">
      <c r="A116" s="18" t="s">
        <v>422</v>
      </c>
      <c r="B116" s="18"/>
      <c r="C116" s="18"/>
      <c r="D116" s="21"/>
      <c r="E116" s="18"/>
      <c r="F116" s="18"/>
      <c r="G116" s="15"/>
      <c r="H116" s="15"/>
      <c r="I116" s="15"/>
      <c r="J116" s="15"/>
      <c r="K116" s="15"/>
      <c r="L116" s="15"/>
      <c r="M116" s="15"/>
      <c r="N116" s="15"/>
      <c r="O116" s="15"/>
      <c r="P116" s="15"/>
      <c r="Q116" s="15"/>
      <c r="R116" s="15"/>
      <c r="S116" s="15"/>
      <c r="T116" s="15"/>
      <c r="U116" s="15"/>
      <c r="V116" s="15"/>
      <c r="W116" s="15"/>
      <c r="X116" s="15"/>
      <c r="Y116" s="15"/>
      <c r="Z116" s="15"/>
    </row>
    <row r="117" ht="22.5" customHeight="1">
      <c r="A117" s="19">
        <v>16.1</v>
      </c>
      <c r="B117" s="19" t="s">
        <v>423</v>
      </c>
      <c r="C117" s="19" t="s">
        <v>424</v>
      </c>
      <c r="D117" s="20" t="s">
        <v>425</v>
      </c>
      <c r="E117" s="19"/>
      <c r="F117" s="19" t="s">
        <v>196</v>
      </c>
      <c r="G117" s="15"/>
      <c r="H117" s="15"/>
      <c r="I117" s="15"/>
      <c r="J117" s="15"/>
      <c r="K117" s="15"/>
      <c r="L117" s="15"/>
      <c r="M117" s="15"/>
      <c r="N117" s="15"/>
      <c r="O117" s="15"/>
      <c r="P117" s="15"/>
      <c r="Q117" s="15"/>
      <c r="R117" s="15"/>
      <c r="S117" s="15"/>
      <c r="T117" s="15"/>
      <c r="U117" s="15"/>
      <c r="V117" s="15"/>
      <c r="W117" s="15"/>
      <c r="X117" s="15"/>
      <c r="Y117" s="15"/>
      <c r="Z117" s="15"/>
    </row>
    <row r="118" ht="22.5" customHeight="1">
      <c r="A118" s="19">
        <v>16.2</v>
      </c>
      <c r="B118" s="19" t="s">
        <v>423</v>
      </c>
      <c r="C118" s="19" t="s">
        <v>426</v>
      </c>
      <c r="D118" s="20" t="s">
        <v>427</v>
      </c>
      <c r="E118" s="19"/>
      <c r="F118" s="19" t="s">
        <v>196</v>
      </c>
      <c r="G118" s="15"/>
      <c r="H118" s="15"/>
      <c r="I118" s="15"/>
      <c r="J118" s="15"/>
      <c r="K118" s="15"/>
      <c r="L118" s="15"/>
      <c r="M118" s="15"/>
      <c r="N118" s="15"/>
      <c r="O118" s="15"/>
      <c r="P118" s="15"/>
      <c r="Q118" s="15"/>
      <c r="R118" s="15"/>
      <c r="S118" s="15"/>
      <c r="T118" s="15"/>
      <c r="U118" s="15"/>
      <c r="V118" s="15"/>
      <c r="W118" s="15"/>
      <c r="X118" s="15"/>
      <c r="Y118" s="15"/>
      <c r="Z118" s="15"/>
    </row>
    <row r="119" ht="15.75" customHeight="1">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row>
    <row r="120" ht="15.75" customHeight="1">
      <c r="A120" s="14"/>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row>
    <row r="121" ht="15.75" customHeight="1">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row>
    <row r="122" ht="15.75" customHeight="1">
      <c r="A122" s="14"/>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row>
    <row r="123" ht="15.75" customHeight="1">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row>
    <row r="124" ht="15.75" customHeight="1">
      <c r="A124" s="14"/>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row>
    <row r="125" ht="15.75" customHeight="1">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row>
    <row r="126" ht="15.75" customHeight="1">
      <c r="A126" s="14"/>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row>
    <row r="127" ht="15.75" customHeight="1">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row>
    <row r="128" ht="15.75" customHeight="1">
      <c r="A128" s="14"/>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row>
    <row r="129" ht="15.75" customHeight="1">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row>
    <row r="130" ht="15.75" customHeight="1">
      <c r="A130" s="14"/>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row>
    <row r="131" ht="15.75" customHeight="1">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row>
    <row r="132" ht="15.75" customHeight="1">
      <c r="A132" s="14"/>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row>
    <row r="133" ht="15.75" customHeight="1">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row>
    <row r="134" ht="15.75" customHeight="1">
      <c r="A134" s="14"/>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row>
    <row r="135" ht="15.75" customHeight="1">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row>
    <row r="136" ht="15.75" customHeight="1">
      <c r="A136" s="14"/>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row>
    <row r="137" ht="15.75" customHeight="1">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row>
    <row r="138" ht="15.75" customHeight="1">
      <c r="A138" s="14"/>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row>
    <row r="139" ht="15.75" customHeight="1">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row>
    <row r="140" ht="15.75" customHeight="1">
      <c r="A140" s="14"/>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row>
    <row r="141" ht="15.75" customHeight="1">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row>
    <row r="142" ht="15.75" customHeight="1">
      <c r="A142" s="14"/>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row>
    <row r="143" ht="15.75" customHeight="1">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row>
    <row r="144" ht="15.75" customHeight="1">
      <c r="A144" s="14"/>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row>
    <row r="145" ht="15.75" customHeight="1">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row>
    <row r="146" ht="15.75" customHeight="1">
      <c r="A146" s="14"/>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row>
    <row r="147" ht="15.75" customHeight="1">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row>
    <row r="148" ht="15.75" customHeight="1">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row>
    <row r="149" ht="15.75" customHeight="1">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row>
    <row r="150" ht="15.75" customHeight="1">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row>
    <row r="151" ht="15.75" customHeight="1">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row>
    <row r="152" ht="15.75" customHeight="1">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row>
    <row r="153" ht="15.75" customHeight="1">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row>
    <row r="154" ht="15.75" customHeight="1">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row>
    <row r="155" ht="15.75" customHeight="1">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row>
    <row r="156" ht="15.75" customHeight="1">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row>
    <row r="157" ht="15.75" customHeight="1">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row>
    <row r="158" ht="15.75" customHeight="1">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row>
    <row r="159" ht="15.75" customHeight="1">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row>
    <row r="160" ht="15.75" customHeight="1">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row>
    <row r="161" ht="15.75" customHeight="1">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row>
    <row r="162" ht="15.75" customHeight="1">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row>
    <row r="163" ht="15.75" customHeight="1">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row>
    <row r="164" ht="15.75" customHeight="1">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row>
    <row r="165" ht="15.75" customHeight="1">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row>
    <row r="166" ht="15.75" customHeight="1">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row>
    <row r="167" ht="15.75" customHeight="1">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row>
    <row r="168" ht="15.75" customHeight="1">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row>
    <row r="169" ht="15.75" customHeight="1">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row>
    <row r="170" ht="15.75" customHeight="1">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row>
    <row r="171" ht="15.75" customHeight="1">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row>
    <row r="172" ht="15.75" customHeight="1">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row>
    <row r="173" ht="15.75" customHeight="1">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row>
    <row r="174" ht="15.75" customHeight="1">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row>
    <row r="175" ht="15.75" customHeight="1">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row>
    <row r="176" ht="15.75" customHeight="1">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row>
    <row r="177" ht="15.75" customHeight="1">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row>
    <row r="178" ht="15.75" customHeight="1">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row>
    <row r="179" ht="15.75" customHeight="1">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row>
    <row r="180" ht="15.75" customHeight="1">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row>
    <row r="181" ht="15.75" customHeight="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row>
    <row r="182" ht="15.75" customHeight="1">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row>
    <row r="183" ht="15.75" customHeight="1">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row>
    <row r="184" ht="15.75" customHeight="1">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row>
    <row r="185" ht="15.75" customHeight="1">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row>
    <row r="186" ht="15.75" customHeight="1">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row>
    <row r="187" ht="15.75" customHeight="1">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row>
    <row r="188" ht="15.75" customHeight="1">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row>
    <row r="189" ht="15.75" customHeight="1">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row>
    <row r="190" ht="15.75" customHeight="1">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row>
    <row r="191" ht="15.75" customHeight="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row>
    <row r="192" ht="15.75" customHeight="1">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row>
    <row r="193" ht="15.75" customHeight="1">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row>
    <row r="194" ht="15.75" customHeight="1">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row>
    <row r="195" ht="15.75" customHeight="1">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row>
    <row r="196" ht="15.75" customHeight="1">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row>
    <row r="197" ht="15.75" customHeight="1">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row>
    <row r="198" ht="15.75" customHeight="1">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row>
    <row r="199" ht="15.75" customHeight="1">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row>
    <row r="200" ht="15.75" customHeight="1">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row>
    <row r="201" ht="15.75" customHeight="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row>
    <row r="202" ht="15.75" customHeight="1">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row>
    <row r="203" ht="15.75" customHeight="1">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row>
    <row r="204" ht="15.75" customHeight="1">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row>
    <row r="205" ht="15.75" customHeight="1">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row>
    <row r="206" ht="15.75" customHeight="1">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row>
    <row r="207" ht="15.75" customHeight="1">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row>
    <row r="208" ht="15.75" customHeight="1">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row>
    <row r="209" ht="15.75" customHeight="1">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row>
    <row r="210" ht="15.75" customHeight="1">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row>
    <row r="211" ht="15.75" customHeight="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row>
    <row r="212" ht="15.75" customHeight="1">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row>
    <row r="213" ht="15.75" customHeight="1">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row>
    <row r="214" ht="15.75" customHeight="1">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row>
    <row r="215" ht="15.75" customHeight="1">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row>
    <row r="216" ht="15.75" customHeight="1">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row>
    <row r="217" ht="15.75" customHeight="1">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row>
    <row r="218" ht="15.75" customHeight="1">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row>
    <row r="219" ht="15.75" customHeight="1">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row>
    <row r="220" ht="15.75" customHeight="1">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row>
    <row r="221" ht="15.75" customHeight="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r="222" ht="15.75" customHeight="1">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r="223" ht="15.75" customHeight="1">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r="224" ht="15.75" customHeight="1">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r="225" ht="15.75" customHeight="1">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r="226" ht="15.75" customHeight="1">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r="227" ht="15.75" customHeight="1">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r="228" ht="15.75" customHeight="1">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r="229" ht="15.75" customHeight="1">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r="230" ht="15.75" customHeight="1">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r="231" ht="15.75" customHeight="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r="232" ht="15.75" customHeight="1">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r="233" ht="15.75" customHeight="1">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r="234" ht="15.75" customHeight="1">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r="235" ht="15.75" customHeight="1">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r="236" ht="15.75" customHeight="1">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r="237" ht="15.75" customHeight="1">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r="238" ht="15.75" customHeight="1">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r="239" ht="15.75" customHeight="1">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r="240" ht="15.75" customHeight="1">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r="241" ht="15.75" customHeight="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r="242" ht="15.75" customHeight="1">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r="243" ht="15.75" customHeight="1">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r="244" ht="15.75" customHeight="1">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r="245" ht="15.75" customHeight="1">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r="246" ht="15.75" customHeight="1">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r="247" ht="15.75" customHeight="1">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r="248" ht="15.75" customHeight="1">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r="249" ht="15.75" customHeight="1">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r="250" ht="15.75" customHeight="1">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r="251" ht="15.75" customHeight="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r="252" ht="15.75" customHeight="1">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r="253" ht="15.75" customHeight="1">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r="254" ht="15.75" customHeight="1">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r="255" ht="15.75" customHeight="1">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r="256" ht="15.75" customHeight="1">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r="257" ht="15.75" customHeight="1">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r="258" ht="15.75" customHeight="1">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r="259" ht="15.75" customHeight="1">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r="260" ht="15.75" customHeight="1">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r="261" ht="15.75" customHeight="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r="262" ht="15.75" customHeight="1">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r="263" ht="15.75" customHeight="1">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r="264" ht="15.75" customHeight="1">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r="265" ht="15.75" customHeight="1">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r="266" ht="15.75" customHeight="1">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r="267" ht="15.75" customHeight="1">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r="268" ht="15.75" customHeight="1">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r="269" ht="15.75" customHeight="1">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r="270" ht="15.75" customHeight="1">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r="271" ht="15.75" customHeight="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r="272" ht="15.75" customHeight="1">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r="273" ht="15.75" customHeight="1">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r="274" ht="15.75" customHeight="1">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r="275" ht="15.75" customHeight="1">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r="276" ht="15.75" customHeight="1">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r="277" ht="15.75" customHeight="1">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r="278" ht="15.75" customHeight="1">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r="279" ht="15.75" customHeight="1">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r="280" ht="15.75" customHeight="1">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r="281" ht="15.75" customHeight="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r="282" ht="15.75" customHeight="1">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r="283" ht="15.75" customHeight="1">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r="284" ht="15.75" customHeight="1">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r="285" ht="15.75" customHeight="1">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r="286" ht="15.75" customHeight="1">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r="287" ht="15.75" customHeight="1">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r="288" ht="15.75" customHeight="1">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r="289" ht="15.75" customHeight="1">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r="290" ht="15.75" customHeight="1">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r="291" ht="15.75" customHeight="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r="292" ht="15.75" customHeight="1">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r="293" ht="15.75" customHeight="1">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r="294" ht="15.75" customHeight="1">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r="295" ht="15.75" customHeight="1">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r="296" ht="15.75" customHeight="1">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r="297" ht="15.75" customHeight="1">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r="298" ht="15.75" customHeight="1">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r="299" ht="15.75" customHeight="1">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r="300" ht="15.75" customHeight="1">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r="301" ht="15.75" customHeight="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r="302" ht="15.75" customHeight="1">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r="303" ht="15.75" customHeight="1">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r="304" ht="15.75" customHeight="1">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r="305" ht="15.75" customHeight="1">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r="306" ht="15.75" customHeight="1">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r="307" ht="15.75" customHeight="1">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r="308" ht="15.75" customHeight="1">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r="309" ht="15.75" customHeight="1">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r="310" ht="15.75" customHeight="1">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r="311" ht="15.75" customHeight="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r="312" ht="15.75" customHeight="1">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r="313" ht="15.75" customHeight="1">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r="314" ht="15.75" customHeight="1">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r="315" ht="15.75" customHeight="1">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r="316" ht="15.75" customHeight="1">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r="317" ht="15.75" customHeight="1">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r="318" ht="15.75" customHeight="1">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DropDown="1" showErrorMessage="1" sqref="F9:F118">
      <formula1>"New,Retained,Revised"</formula1>
    </dataValidation>
    <dataValidation type="custom" allowBlank="1" showDropDown="1" sqref="A9:A118">
      <formula1/>
    </dataValidation>
  </dataValidation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6.0" topLeftCell="A7" activePane="bottomLeft" state="frozen"/>
      <selection activeCell="B8" sqref="B8" pane="bottomLeft"/>
    </sheetView>
  </sheetViews>
  <sheetFormatPr customHeight="1" defaultColWidth="12.63" defaultRowHeight="15.0"/>
  <cols>
    <col customWidth="1" min="1" max="1" width="16.75"/>
    <col customWidth="1" min="2" max="2" width="16.63"/>
    <col customWidth="1" min="3" max="3" width="16.38"/>
    <col customWidth="1" min="4" max="4" width="15.88"/>
    <col customWidth="1" min="5" max="5" width="12.5"/>
    <col customWidth="1" min="6" max="6" width="31.0"/>
    <col customWidth="1" min="7" max="7" width="15.88"/>
  </cols>
  <sheetData>
    <row r="1" ht="22.5" customHeight="1">
      <c r="A1" s="25" t="s">
        <v>40</v>
      </c>
      <c r="B1" s="25" t="s">
        <v>428</v>
      </c>
      <c r="C1" s="25" t="s">
        <v>429</v>
      </c>
      <c r="D1" s="25" t="s">
        <v>430</v>
      </c>
      <c r="E1" s="26" t="s">
        <v>431</v>
      </c>
      <c r="F1" s="26" t="s">
        <v>432</v>
      </c>
      <c r="G1" s="26" t="s">
        <v>433</v>
      </c>
    </row>
    <row r="2" ht="22.5" customHeight="1">
      <c r="A2" s="27" t="s">
        <v>76</v>
      </c>
      <c r="B2" s="27" t="s">
        <v>61</v>
      </c>
      <c r="C2" s="27" t="s">
        <v>62</v>
      </c>
      <c r="D2" s="27" t="s">
        <v>61</v>
      </c>
      <c r="E2" s="28" t="s">
        <v>65</v>
      </c>
      <c r="F2" s="29" t="s">
        <v>434</v>
      </c>
      <c r="G2" s="30">
        <v>46319.0</v>
      </c>
    </row>
    <row r="3" ht="22.5" customHeight="1">
      <c r="A3" s="27" t="s">
        <v>81</v>
      </c>
      <c r="B3" s="27" t="s">
        <v>61</v>
      </c>
      <c r="C3" s="27" t="s">
        <v>61</v>
      </c>
      <c r="D3" s="27" t="s">
        <v>62</v>
      </c>
      <c r="E3" s="28" t="s">
        <v>65</v>
      </c>
      <c r="F3" s="29" t="s">
        <v>435</v>
      </c>
      <c r="G3" s="30">
        <v>46319.0</v>
      </c>
    </row>
    <row r="4" ht="22.5" customHeight="1">
      <c r="A4" s="27" t="s">
        <v>90</v>
      </c>
      <c r="B4" s="27" t="s">
        <v>71</v>
      </c>
      <c r="C4" s="27" t="s">
        <v>71</v>
      </c>
      <c r="D4" s="27" t="s">
        <v>71</v>
      </c>
      <c r="E4" s="28" t="s">
        <v>60</v>
      </c>
      <c r="F4" s="29" t="s">
        <v>436</v>
      </c>
      <c r="G4" s="30">
        <v>46319.0</v>
      </c>
    </row>
    <row r="5" ht="22.5" customHeight="1">
      <c r="A5" s="27" t="s">
        <v>103</v>
      </c>
      <c r="B5" s="27" t="s">
        <v>71</v>
      </c>
      <c r="C5" s="27" t="s">
        <v>71</v>
      </c>
      <c r="D5" s="27" t="s">
        <v>71</v>
      </c>
      <c r="E5" s="28" t="s">
        <v>60</v>
      </c>
      <c r="F5" s="29" t="s">
        <v>437</v>
      </c>
      <c r="G5" s="30">
        <v>46319.0</v>
      </c>
    </row>
    <row r="6" ht="22.5" customHeight="1">
      <c r="A6" s="27" t="s">
        <v>168</v>
      </c>
      <c r="B6" s="27" t="s">
        <v>71</v>
      </c>
      <c r="C6" s="27" t="s">
        <v>71</v>
      </c>
      <c r="D6" s="27" t="s">
        <v>71</v>
      </c>
      <c r="E6" s="28" t="s">
        <v>60</v>
      </c>
      <c r="F6" s="29" t="s">
        <v>438</v>
      </c>
      <c r="G6" s="30">
        <v>46319.0</v>
      </c>
    </row>
    <row r="7" ht="15.75" customHeight="1">
      <c r="A7" s="27"/>
      <c r="B7" s="27"/>
      <c r="C7" s="27"/>
      <c r="D7" s="27"/>
    </row>
    <row r="8" ht="15.75" customHeight="1">
      <c r="A8" s="27"/>
      <c r="B8" s="27"/>
      <c r="C8" s="27"/>
      <c r="D8" s="27"/>
    </row>
    <row r="9" ht="15.75" customHeight="1">
      <c r="A9" s="27"/>
      <c r="B9" s="27"/>
      <c r="C9" s="27"/>
      <c r="D9" s="27"/>
    </row>
    <row r="10" ht="15.75" customHeight="1">
      <c r="A10" s="27"/>
      <c r="B10" s="27"/>
      <c r="C10" s="27"/>
      <c r="D10" s="27"/>
    </row>
    <row r="11" ht="15.75" customHeight="1">
      <c r="A11" s="27"/>
      <c r="B11" s="27"/>
      <c r="C11" s="27"/>
      <c r="D11" s="27"/>
    </row>
    <row r="12" ht="15.75" customHeight="1">
      <c r="A12" s="27"/>
      <c r="B12" s="27"/>
      <c r="C12" s="27"/>
      <c r="D12" s="27"/>
    </row>
    <row r="13" ht="15.75" customHeight="1">
      <c r="A13" s="27"/>
      <c r="B13" s="27"/>
      <c r="C13" s="27"/>
      <c r="D13" s="27"/>
    </row>
    <row r="14" ht="15.75" customHeight="1">
      <c r="A14" s="27"/>
      <c r="B14" s="27"/>
      <c r="C14" s="27"/>
      <c r="D14" s="27"/>
    </row>
    <row r="15" ht="15.75" customHeight="1">
      <c r="A15" s="27"/>
      <c r="B15" s="27"/>
      <c r="C15" s="27"/>
      <c r="D15" s="27"/>
    </row>
    <row r="16" ht="15.75" customHeight="1">
      <c r="A16" s="27"/>
      <c r="B16" s="27"/>
      <c r="C16" s="27"/>
      <c r="D16" s="27"/>
    </row>
    <row r="17" ht="15.75" customHeight="1">
      <c r="A17" s="27"/>
      <c r="B17" s="27"/>
      <c r="C17" s="27"/>
      <c r="D17" s="27"/>
    </row>
    <row r="18" ht="15.75" customHeight="1">
      <c r="A18" s="27"/>
      <c r="B18" s="27"/>
      <c r="C18" s="27"/>
      <c r="D18" s="27"/>
    </row>
    <row r="19" ht="15.75" customHeight="1">
      <c r="A19" s="27"/>
      <c r="B19" s="27"/>
      <c r="C19" s="27"/>
      <c r="D19" s="27"/>
    </row>
    <row r="20" ht="15.75" customHeight="1">
      <c r="A20" s="27"/>
      <c r="B20" s="27"/>
      <c r="C20" s="27"/>
      <c r="D20" s="27"/>
    </row>
    <row r="21" ht="15.75" customHeight="1">
      <c r="A21" s="27"/>
      <c r="B21" s="27"/>
      <c r="C21" s="27"/>
      <c r="D21" s="27"/>
    </row>
    <row r="22" ht="15.75" customHeight="1">
      <c r="A22" s="27"/>
      <c r="B22" s="27"/>
      <c r="C22" s="27"/>
      <c r="D22" s="27"/>
    </row>
    <row r="23" ht="15.75" customHeight="1">
      <c r="A23" s="27"/>
      <c r="B23" s="27"/>
      <c r="C23" s="27"/>
      <c r="D23" s="27"/>
    </row>
    <row r="24" ht="15.75" customHeight="1">
      <c r="A24" s="27"/>
      <c r="B24" s="27"/>
      <c r="C24" s="27"/>
      <c r="D24" s="27"/>
    </row>
    <row r="25" ht="15.75" customHeight="1">
      <c r="A25" s="27"/>
      <c r="B25" s="27"/>
      <c r="C25" s="27"/>
      <c r="D25" s="27"/>
    </row>
    <row r="26" ht="15.75" customHeight="1">
      <c r="A26" s="27"/>
      <c r="B26" s="27"/>
      <c r="C26" s="27"/>
      <c r="D26" s="27"/>
    </row>
    <row r="27" ht="15.75" customHeight="1">
      <c r="A27" s="27"/>
      <c r="B27" s="27"/>
      <c r="C27" s="27"/>
      <c r="D27" s="27"/>
    </row>
    <row r="28" ht="15.75" customHeight="1">
      <c r="A28" s="27"/>
      <c r="B28" s="27"/>
      <c r="C28" s="27"/>
      <c r="D28" s="27"/>
    </row>
    <row r="29" ht="15.75" customHeight="1">
      <c r="A29" s="27"/>
      <c r="B29" s="27"/>
      <c r="C29" s="27"/>
      <c r="D29" s="27"/>
    </row>
    <row r="30" ht="15.75" customHeight="1">
      <c r="A30" s="27"/>
      <c r="B30" s="27"/>
      <c r="C30" s="27"/>
      <c r="D30" s="27"/>
    </row>
    <row r="31" ht="15.75" customHeight="1">
      <c r="A31" s="27"/>
      <c r="B31" s="27"/>
      <c r="C31" s="27"/>
      <c r="D31" s="27"/>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B2:D6">
      <formula1>"Absent,Present,Unclear"</formula1>
    </dataValidation>
    <dataValidation type="custom" allowBlank="1" showDropDown="1" sqref="G2:G6">
      <formula1>OR(NOT(ISERROR(DATEVALUE(G2))), AND(ISNUMBER(G2), LEFT(CELL("format", G2))="D"))</formula1>
    </dataValidation>
    <dataValidation type="list" allowBlank="1" showErrorMessage="1" sqref="E2:E6">
      <formula1>"Yes,No"</formula1>
    </dataValidation>
  </dataValidation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9.63"/>
    <col customWidth="1" min="2" max="2" width="16.88"/>
    <col customWidth="1" min="3" max="4" width="55.0"/>
    <col customWidth="1" min="5" max="5" width="13.88"/>
    <col customWidth="1" min="6" max="6" width="12.63"/>
  </cols>
  <sheetData>
    <row r="1" ht="30.0" customHeight="1">
      <c r="A1" s="2" t="s">
        <v>439</v>
      </c>
      <c r="B1" s="2" t="s">
        <v>40</v>
      </c>
      <c r="C1" s="2" t="s">
        <v>440</v>
      </c>
      <c r="D1" s="2" t="s">
        <v>441</v>
      </c>
      <c r="E1" s="2" t="s">
        <v>442</v>
      </c>
      <c r="F1" s="31"/>
      <c r="G1" s="31"/>
      <c r="H1" s="31"/>
      <c r="I1" s="31"/>
      <c r="J1" s="31"/>
      <c r="K1" s="31"/>
      <c r="L1" s="31"/>
      <c r="M1" s="31"/>
      <c r="N1" s="31"/>
      <c r="O1" s="31"/>
      <c r="P1" s="31"/>
      <c r="Q1" s="31"/>
      <c r="R1" s="31"/>
      <c r="S1" s="31"/>
      <c r="T1" s="31"/>
      <c r="U1" s="31"/>
      <c r="V1" s="31"/>
      <c r="W1" s="31"/>
      <c r="X1" s="31"/>
      <c r="Y1" s="31"/>
      <c r="Z1" s="31"/>
    </row>
    <row r="2" ht="48.0" customHeight="1">
      <c r="A2" s="27" t="s">
        <v>443</v>
      </c>
      <c r="B2" s="32" t="s">
        <v>69</v>
      </c>
      <c r="C2" s="33" t="s">
        <v>444</v>
      </c>
      <c r="D2" s="33" t="s">
        <v>445</v>
      </c>
      <c r="E2" s="27" t="s">
        <v>446</v>
      </c>
      <c r="F2" s="31"/>
      <c r="G2" s="31"/>
      <c r="H2" s="31"/>
      <c r="I2" s="31"/>
      <c r="J2" s="31"/>
      <c r="K2" s="31"/>
      <c r="L2" s="31"/>
      <c r="M2" s="31"/>
      <c r="N2" s="31"/>
      <c r="O2" s="31"/>
      <c r="P2" s="31"/>
      <c r="Q2" s="31"/>
      <c r="R2" s="31"/>
      <c r="S2" s="31"/>
      <c r="T2" s="31"/>
      <c r="U2" s="31"/>
      <c r="V2" s="31"/>
      <c r="W2" s="31"/>
      <c r="X2" s="31"/>
      <c r="Y2" s="31"/>
      <c r="Z2" s="31"/>
    </row>
    <row r="3" ht="48.0" customHeight="1">
      <c r="A3" s="27" t="s">
        <v>447</v>
      </c>
      <c r="B3" s="32" t="s">
        <v>90</v>
      </c>
      <c r="C3" s="33" t="s">
        <v>448</v>
      </c>
      <c r="D3" s="33" t="s">
        <v>449</v>
      </c>
      <c r="E3" s="27" t="s">
        <v>446</v>
      </c>
      <c r="F3" s="31"/>
      <c r="G3" s="31"/>
      <c r="H3" s="31"/>
      <c r="I3" s="31"/>
      <c r="J3" s="31"/>
      <c r="K3" s="31"/>
      <c r="L3" s="31"/>
      <c r="M3" s="31"/>
      <c r="N3" s="31"/>
      <c r="O3" s="31"/>
      <c r="P3" s="31"/>
      <c r="Q3" s="31"/>
      <c r="R3" s="31"/>
      <c r="S3" s="31"/>
      <c r="T3" s="31"/>
      <c r="U3" s="31"/>
      <c r="V3" s="31"/>
      <c r="W3" s="31"/>
      <c r="X3" s="31"/>
      <c r="Y3" s="31"/>
      <c r="Z3" s="31"/>
    </row>
    <row r="4" ht="48.0" customHeight="1">
      <c r="A4" s="27" t="s">
        <v>450</v>
      </c>
      <c r="B4" s="32" t="s">
        <v>103</v>
      </c>
      <c r="C4" s="33" t="s">
        <v>451</v>
      </c>
      <c r="D4" s="33" t="s">
        <v>452</v>
      </c>
      <c r="E4" s="27" t="s">
        <v>446</v>
      </c>
      <c r="F4" s="31"/>
      <c r="G4" s="31"/>
      <c r="H4" s="31"/>
      <c r="I4" s="31"/>
      <c r="J4" s="31"/>
      <c r="K4" s="31"/>
      <c r="L4" s="31"/>
      <c r="M4" s="31"/>
      <c r="N4" s="31"/>
      <c r="O4" s="31"/>
      <c r="P4" s="31"/>
      <c r="Q4" s="31"/>
      <c r="R4" s="31"/>
      <c r="S4" s="31"/>
      <c r="T4" s="31"/>
      <c r="U4" s="31"/>
      <c r="V4" s="31"/>
      <c r="W4" s="31"/>
      <c r="X4" s="31"/>
      <c r="Y4" s="31"/>
      <c r="Z4" s="31"/>
    </row>
    <row r="5" ht="48.0" customHeight="1">
      <c r="A5" s="27" t="s">
        <v>453</v>
      </c>
      <c r="B5" s="32" t="s">
        <v>109</v>
      </c>
      <c r="C5" s="33" t="s">
        <v>454</v>
      </c>
      <c r="D5" s="33" t="s">
        <v>455</v>
      </c>
      <c r="E5" s="27" t="s">
        <v>446</v>
      </c>
      <c r="F5" s="31"/>
      <c r="G5" s="31"/>
      <c r="H5" s="31"/>
      <c r="I5" s="31"/>
      <c r="J5" s="31"/>
      <c r="K5" s="31"/>
      <c r="L5" s="31"/>
      <c r="M5" s="31"/>
      <c r="N5" s="31"/>
      <c r="O5" s="31"/>
      <c r="P5" s="31"/>
      <c r="Q5" s="31"/>
      <c r="R5" s="31"/>
      <c r="S5" s="31"/>
      <c r="T5" s="31"/>
      <c r="U5" s="31"/>
      <c r="V5" s="31"/>
      <c r="W5" s="31"/>
      <c r="X5" s="31"/>
      <c r="Y5" s="31"/>
      <c r="Z5" s="31"/>
    </row>
    <row r="6" ht="48.0" customHeight="1">
      <c r="A6" s="27" t="s">
        <v>456</v>
      </c>
      <c r="B6" s="32" t="s">
        <v>119</v>
      </c>
      <c r="C6" s="33" t="s">
        <v>457</v>
      </c>
      <c r="D6" s="33" t="s">
        <v>458</v>
      </c>
      <c r="E6" s="27" t="s">
        <v>446</v>
      </c>
      <c r="F6" s="31"/>
      <c r="G6" s="31"/>
      <c r="H6" s="31"/>
      <c r="I6" s="31"/>
      <c r="J6" s="31"/>
      <c r="K6" s="31"/>
      <c r="L6" s="31"/>
      <c r="M6" s="31"/>
      <c r="N6" s="31"/>
      <c r="O6" s="31"/>
      <c r="P6" s="31"/>
      <c r="Q6" s="31"/>
      <c r="R6" s="31"/>
      <c r="S6" s="31"/>
      <c r="T6" s="31"/>
      <c r="U6" s="31"/>
      <c r="V6" s="31"/>
      <c r="W6" s="31"/>
      <c r="X6" s="31"/>
      <c r="Y6" s="31"/>
      <c r="Z6" s="31"/>
    </row>
    <row r="7" ht="48.0" customHeight="1">
      <c r="A7" s="27" t="s">
        <v>459</v>
      </c>
      <c r="B7" s="32" t="s">
        <v>122</v>
      </c>
      <c r="C7" s="33" t="s">
        <v>460</v>
      </c>
      <c r="D7" s="33" t="s">
        <v>461</v>
      </c>
      <c r="E7" s="27" t="s">
        <v>446</v>
      </c>
      <c r="F7" s="31"/>
      <c r="G7" s="31"/>
      <c r="H7" s="31"/>
      <c r="I7" s="31"/>
      <c r="J7" s="31"/>
      <c r="K7" s="31"/>
      <c r="L7" s="31"/>
      <c r="M7" s="31"/>
      <c r="N7" s="31"/>
      <c r="O7" s="31"/>
      <c r="P7" s="31"/>
      <c r="Q7" s="31"/>
      <c r="R7" s="31"/>
      <c r="S7" s="31"/>
      <c r="T7" s="31"/>
      <c r="U7" s="31"/>
      <c r="V7" s="31"/>
      <c r="W7" s="31"/>
      <c r="X7" s="31"/>
      <c r="Y7" s="31"/>
      <c r="Z7" s="31"/>
    </row>
    <row r="8" ht="48.0" customHeight="1">
      <c r="A8" s="27" t="s">
        <v>462</v>
      </c>
      <c r="B8" s="32" t="s">
        <v>133</v>
      </c>
      <c r="C8" s="33" t="s">
        <v>463</v>
      </c>
      <c r="D8" s="33" t="s">
        <v>464</v>
      </c>
      <c r="E8" s="27" t="s">
        <v>446</v>
      </c>
      <c r="F8" s="31"/>
      <c r="G8" s="31"/>
      <c r="H8" s="31"/>
      <c r="I8" s="31"/>
      <c r="J8" s="31"/>
      <c r="K8" s="31"/>
      <c r="L8" s="31"/>
      <c r="M8" s="31"/>
      <c r="N8" s="31"/>
      <c r="O8" s="31"/>
      <c r="P8" s="31"/>
      <c r="Q8" s="31"/>
      <c r="R8" s="31"/>
      <c r="S8" s="31"/>
      <c r="T8" s="31"/>
      <c r="U8" s="31"/>
      <c r="V8" s="31"/>
      <c r="W8" s="31"/>
      <c r="X8" s="31"/>
      <c r="Y8" s="31"/>
      <c r="Z8" s="31"/>
    </row>
    <row r="9" ht="48.0" customHeight="1">
      <c r="A9" s="27" t="s">
        <v>465</v>
      </c>
      <c r="B9" s="32" t="s">
        <v>137</v>
      </c>
      <c r="C9" s="33" t="s">
        <v>466</v>
      </c>
      <c r="D9" s="33" t="s">
        <v>467</v>
      </c>
      <c r="E9" s="27" t="s">
        <v>446</v>
      </c>
      <c r="F9" s="31"/>
      <c r="G9" s="31"/>
      <c r="H9" s="31"/>
      <c r="I9" s="31"/>
      <c r="J9" s="31"/>
      <c r="K9" s="31"/>
      <c r="L9" s="31"/>
      <c r="M9" s="31"/>
      <c r="N9" s="31"/>
      <c r="O9" s="31"/>
      <c r="P9" s="31"/>
      <c r="Q9" s="31"/>
      <c r="R9" s="31"/>
      <c r="S9" s="31"/>
      <c r="T9" s="31"/>
      <c r="U9" s="31"/>
      <c r="V9" s="31"/>
      <c r="W9" s="31"/>
      <c r="X9" s="31"/>
      <c r="Y9" s="31"/>
      <c r="Z9" s="31"/>
    </row>
    <row r="10" ht="48.0" customHeight="1">
      <c r="A10" s="27" t="s">
        <v>468</v>
      </c>
      <c r="B10" s="32" t="s">
        <v>140</v>
      </c>
      <c r="C10" s="33" t="s">
        <v>469</v>
      </c>
      <c r="D10" s="33" t="s">
        <v>470</v>
      </c>
      <c r="E10" s="27" t="s">
        <v>446</v>
      </c>
      <c r="F10" s="31"/>
      <c r="G10" s="31"/>
      <c r="H10" s="31"/>
      <c r="I10" s="31"/>
      <c r="J10" s="31"/>
      <c r="K10" s="31"/>
      <c r="L10" s="31"/>
      <c r="M10" s="31"/>
      <c r="N10" s="31"/>
      <c r="O10" s="31"/>
      <c r="P10" s="31"/>
      <c r="Q10" s="31"/>
      <c r="R10" s="31"/>
      <c r="S10" s="31"/>
      <c r="T10" s="31"/>
      <c r="U10" s="31"/>
      <c r="V10" s="31"/>
      <c r="W10" s="31"/>
      <c r="X10" s="31"/>
      <c r="Y10" s="31"/>
      <c r="Z10" s="31"/>
    </row>
    <row r="11" ht="48.0" customHeight="1">
      <c r="A11" s="27" t="s">
        <v>471</v>
      </c>
      <c r="B11" s="32" t="s">
        <v>149</v>
      </c>
      <c r="C11" s="33" t="s">
        <v>472</v>
      </c>
      <c r="D11" s="33" t="s">
        <v>473</v>
      </c>
      <c r="E11" s="27" t="s">
        <v>446</v>
      </c>
      <c r="F11" s="31"/>
      <c r="G11" s="31"/>
      <c r="H11" s="31"/>
      <c r="I11" s="31"/>
      <c r="J11" s="31"/>
      <c r="K11" s="31"/>
      <c r="L11" s="31"/>
      <c r="M11" s="31"/>
      <c r="N11" s="31"/>
      <c r="O11" s="31"/>
      <c r="P11" s="31"/>
      <c r="Q11" s="31"/>
      <c r="R11" s="31"/>
      <c r="S11" s="31"/>
      <c r="T11" s="31"/>
      <c r="U11" s="31"/>
      <c r="V11" s="31"/>
      <c r="W11" s="31"/>
      <c r="X11" s="31"/>
      <c r="Y11" s="31"/>
      <c r="Z11" s="31"/>
    </row>
    <row r="12" ht="48.0" customHeight="1">
      <c r="A12" s="27" t="s">
        <v>474</v>
      </c>
      <c r="B12" s="32" t="s">
        <v>168</v>
      </c>
      <c r="C12" s="33" t="s">
        <v>475</v>
      </c>
      <c r="D12" s="33" t="s">
        <v>476</v>
      </c>
      <c r="E12" s="27" t="s">
        <v>446</v>
      </c>
      <c r="F12" s="31"/>
      <c r="G12" s="31"/>
      <c r="H12" s="31"/>
      <c r="I12" s="31"/>
      <c r="J12" s="31"/>
      <c r="K12" s="31"/>
      <c r="L12" s="31"/>
      <c r="M12" s="31"/>
      <c r="N12" s="31"/>
      <c r="O12" s="31"/>
      <c r="P12" s="31"/>
      <c r="Q12" s="31"/>
      <c r="R12" s="31"/>
      <c r="S12" s="31"/>
      <c r="T12" s="31"/>
      <c r="U12" s="31"/>
      <c r="V12" s="31"/>
      <c r="W12" s="31"/>
      <c r="X12" s="31"/>
      <c r="Y12" s="31"/>
      <c r="Z12" s="31"/>
    </row>
    <row r="13" ht="22.5" customHeight="1">
      <c r="A13" s="27"/>
      <c r="B13" s="32"/>
      <c r="C13" s="33"/>
      <c r="D13" s="33"/>
      <c r="E13" s="27"/>
      <c r="F13" s="31"/>
      <c r="G13" s="31"/>
      <c r="H13" s="31"/>
      <c r="I13" s="31"/>
      <c r="J13" s="31"/>
      <c r="K13" s="31"/>
      <c r="L13" s="31"/>
      <c r="M13" s="31"/>
      <c r="N13" s="31"/>
      <c r="O13" s="31"/>
      <c r="P13" s="31"/>
      <c r="Q13" s="31"/>
      <c r="R13" s="31"/>
      <c r="S13" s="31"/>
      <c r="T13" s="31"/>
      <c r="U13" s="31"/>
      <c r="V13" s="31"/>
      <c r="W13" s="31"/>
      <c r="X13" s="31"/>
      <c r="Y13" s="31"/>
      <c r="Z13" s="31"/>
    </row>
    <row r="14" ht="15.75" customHeight="1">
      <c r="A14" s="31"/>
      <c r="B14" s="31"/>
      <c r="C14" s="31"/>
      <c r="D14" s="31"/>
      <c r="E14" s="27"/>
      <c r="F14" s="31"/>
      <c r="G14" s="31"/>
      <c r="H14" s="31"/>
      <c r="I14" s="31"/>
      <c r="J14" s="31"/>
      <c r="K14" s="31"/>
      <c r="L14" s="31"/>
      <c r="M14" s="31"/>
      <c r="N14" s="31"/>
      <c r="O14" s="31"/>
      <c r="P14" s="31"/>
      <c r="Q14" s="31"/>
      <c r="R14" s="31"/>
      <c r="S14" s="31"/>
      <c r="T14" s="31"/>
      <c r="U14" s="31"/>
      <c r="V14" s="31"/>
      <c r="W14" s="31"/>
      <c r="X14" s="31"/>
      <c r="Y14" s="31"/>
      <c r="Z14" s="31"/>
    </row>
    <row r="15" ht="15.75" customHeight="1">
      <c r="A15" s="31"/>
      <c r="B15" s="31"/>
      <c r="C15" s="31"/>
      <c r="D15" s="31"/>
      <c r="E15" s="31"/>
      <c r="F15" s="31"/>
      <c r="G15" s="31"/>
      <c r="H15" s="31"/>
      <c r="I15" s="31"/>
      <c r="J15" s="31"/>
      <c r="K15" s="31"/>
      <c r="L15" s="31"/>
      <c r="M15" s="31"/>
      <c r="N15" s="31"/>
      <c r="O15" s="31"/>
      <c r="P15" s="31"/>
      <c r="Q15" s="31"/>
      <c r="R15" s="31"/>
      <c r="S15" s="31"/>
      <c r="T15" s="31"/>
      <c r="U15" s="31"/>
      <c r="V15" s="31"/>
      <c r="W15" s="31"/>
      <c r="X15" s="31"/>
      <c r="Y15" s="31"/>
      <c r="Z15" s="31"/>
    </row>
    <row r="16" ht="15.75" customHeight="1">
      <c r="A16" s="31"/>
      <c r="B16" s="31"/>
      <c r="C16" s="31"/>
      <c r="D16" s="31"/>
      <c r="E16" s="31"/>
      <c r="F16" s="31"/>
      <c r="G16" s="31"/>
      <c r="H16" s="31"/>
      <c r="I16" s="31"/>
      <c r="J16" s="31"/>
      <c r="K16" s="31"/>
      <c r="L16" s="31"/>
      <c r="M16" s="31"/>
      <c r="N16" s="31"/>
      <c r="O16" s="31"/>
      <c r="P16" s="31"/>
      <c r="Q16" s="31"/>
      <c r="R16" s="31"/>
      <c r="S16" s="31"/>
      <c r="T16" s="31"/>
      <c r="U16" s="31"/>
      <c r="V16" s="31"/>
      <c r="W16" s="31"/>
      <c r="X16" s="31"/>
      <c r="Y16" s="31"/>
      <c r="Z16" s="31"/>
    </row>
    <row r="17" ht="15.75" customHeight="1">
      <c r="A17" s="31"/>
      <c r="B17" s="31"/>
      <c r="C17" s="31"/>
      <c r="D17" s="31"/>
      <c r="E17" s="31"/>
      <c r="F17" s="31"/>
      <c r="G17" s="31"/>
      <c r="H17" s="31"/>
      <c r="I17" s="31"/>
      <c r="J17" s="31"/>
      <c r="K17" s="31"/>
      <c r="L17" s="31"/>
      <c r="M17" s="31"/>
      <c r="N17" s="31"/>
      <c r="O17" s="31"/>
      <c r="P17" s="31"/>
      <c r="Q17" s="31"/>
      <c r="R17" s="31"/>
      <c r="S17" s="31"/>
      <c r="T17" s="31"/>
      <c r="U17" s="31"/>
      <c r="V17" s="31"/>
      <c r="W17" s="31"/>
      <c r="X17" s="31"/>
      <c r="Y17" s="31"/>
      <c r="Z17" s="31"/>
    </row>
    <row r="18" ht="15.75" customHeight="1">
      <c r="A18" s="31"/>
      <c r="B18" s="31"/>
      <c r="C18" s="31"/>
      <c r="D18" s="31"/>
      <c r="E18" s="31"/>
      <c r="F18" s="31"/>
      <c r="G18" s="31"/>
      <c r="H18" s="31"/>
      <c r="I18" s="31"/>
      <c r="J18" s="31"/>
      <c r="K18" s="31"/>
      <c r="L18" s="31"/>
      <c r="M18" s="31"/>
      <c r="N18" s="31"/>
      <c r="O18" s="31"/>
      <c r="P18" s="31"/>
      <c r="Q18" s="31"/>
      <c r="R18" s="31"/>
      <c r="S18" s="31"/>
      <c r="T18" s="31"/>
      <c r="U18" s="31"/>
      <c r="V18" s="31"/>
      <c r="W18" s="31"/>
      <c r="X18" s="31"/>
      <c r="Y18" s="31"/>
      <c r="Z18" s="31"/>
    </row>
    <row r="19" ht="15.75" customHeight="1">
      <c r="A19" s="31"/>
      <c r="B19" s="31"/>
      <c r="C19" s="31"/>
      <c r="D19" s="31"/>
      <c r="E19" s="31"/>
      <c r="F19" s="31"/>
      <c r="G19" s="31"/>
      <c r="H19" s="31"/>
      <c r="I19" s="31"/>
      <c r="J19" s="31"/>
      <c r="K19" s="31"/>
      <c r="L19" s="31"/>
      <c r="M19" s="31"/>
      <c r="N19" s="31"/>
      <c r="O19" s="31"/>
      <c r="P19" s="31"/>
      <c r="Q19" s="31"/>
      <c r="R19" s="31"/>
      <c r="S19" s="31"/>
      <c r="T19" s="31"/>
      <c r="U19" s="31"/>
      <c r="V19" s="31"/>
      <c r="W19" s="31"/>
      <c r="X19" s="31"/>
      <c r="Y19" s="31"/>
      <c r="Z19" s="31"/>
    </row>
    <row r="20" ht="15.75" customHeight="1">
      <c r="A20" s="31"/>
      <c r="B20" s="31"/>
      <c r="C20" s="31"/>
      <c r="D20" s="31"/>
      <c r="E20" s="31"/>
      <c r="F20" s="31"/>
      <c r="G20" s="31"/>
      <c r="H20" s="31"/>
      <c r="I20" s="31"/>
      <c r="J20" s="31"/>
      <c r="K20" s="31"/>
      <c r="L20" s="31"/>
      <c r="M20" s="31"/>
      <c r="N20" s="31"/>
      <c r="O20" s="31"/>
      <c r="P20" s="31"/>
      <c r="Q20" s="31"/>
      <c r="R20" s="31"/>
      <c r="S20" s="31"/>
      <c r="T20" s="31"/>
      <c r="U20" s="31"/>
      <c r="V20" s="31"/>
      <c r="W20" s="31"/>
      <c r="X20" s="31"/>
      <c r="Y20" s="31"/>
      <c r="Z20" s="31"/>
    </row>
    <row r="21" ht="15.75" customHeight="1">
      <c r="A21" s="31"/>
      <c r="B21" s="31"/>
      <c r="C21" s="31"/>
      <c r="D21" s="31"/>
      <c r="E21" s="31"/>
      <c r="F21" s="31"/>
      <c r="G21" s="31"/>
      <c r="H21" s="31"/>
      <c r="I21" s="31"/>
      <c r="J21" s="31"/>
      <c r="K21" s="31"/>
      <c r="L21" s="31"/>
      <c r="M21" s="31"/>
      <c r="N21" s="31"/>
      <c r="O21" s="31"/>
      <c r="P21" s="31"/>
      <c r="Q21" s="31"/>
      <c r="R21" s="31"/>
      <c r="S21" s="31"/>
      <c r="T21" s="31"/>
      <c r="U21" s="31"/>
      <c r="V21" s="31"/>
      <c r="W21" s="31"/>
      <c r="X21" s="31"/>
      <c r="Y21" s="31"/>
      <c r="Z21" s="31"/>
    </row>
    <row r="22" ht="15.75" customHeight="1">
      <c r="A22" s="31"/>
      <c r="B22" s="31"/>
      <c r="C22" s="31"/>
      <c r="D22" s="31"/>
      <c r="E22" s="31"/>
      <c r="F22" s="31"/>
      <c r="G22" s="31"/>
      <c r="H22" s="31"/>
      <c r="I22" s="31"/>
      <c r="J22" s="31"/>
      <c r="K22" s="31"/>
      <c r="L22" s="31"/>
      <c r="M22" s="31"/>
      <c r="N22" s="31"/>
      <c r="O22" s="31"/>
      <c r="P22" s="31"/>
      <c r="Q22" s="31"/>
      <c r="R22" s="31"/>
      <c r="S22" s="31"/>
      <c r="T22" s="31"/>
      <c r="U22" s="31"/>
      <c r="V22" s="31"/>
      <c r="W22" s="31"/>
      <c r="X22" s="31"/>
      <c r="Y22" s="31"/>
      <c r="Z22" s="31"/>
    </row>
    <row r="23" ht="15.75" customHeight="1">
      <c r="A23" s="31"/>
      <c r="B23" s="31"/>
      <c r="C23" s="31"/>
      <c r="D23" s="31"/>
      <c r="E23" s="31"/>
      <c r="F23" s="31"/>
      <c r="G23" s="31"/>
      <c r="H23" s="31"/>
      <c r="I23" s="31"/>
      <c r="J23" s="31"/>
      <c r="K23" s="31"/>
      <c r="L23" s="31"/>
      <c r="M23" s="31"/>
      <c r="N23" s="31"/>
      <c r="O23" s="31"/>
      <c r="P23" s="31"/>
      <c r="Q23" s="31"/>
      <c r="R23" s="31"/>
      <c r="S23" s="31"/>
      <c r="T23" s="31"/>
      <c r="U23" s="31"/>
      <c r="V23" s="31"/>
      <c r="W23" s="31"/>
      <c r="X23" s="31"/>
      <c r="Y23" s="31"/>
      <c r="Z23" s="31"/>
    </row>
    <row r="24" ht="15.75" customHeight="1">
      <c r="A24" s="31"/>
      <c r="B24" s="31"/>
      <c r="C24" s="31"/>
      <c r="D24" s="31"/>
      <c r="E24" s="31"/>
      <c r="F24" s="31"/>
      <c r="G24" s="31"/>
      <c r="H24" s="31"/>
      <c r="I24" s="31"/>
      <c r="J24" s="31"/>
      <c r="K24" s="31"/>
      <c r="L24" s="31"/>
      <c r="M24" s="31"/>
      <c r="N24" s="31"/>
      <c r="O24" s="31"/>
      <c r="P24" s="31"/>
      <c r="Q24" s="31"/>
      <c r="R24" s="31"/>
      <c r="S24" s="31"/>
      <c r="T24" s="31"/>
      <c r="U24" s="31"/>
      <c r="V24" s="31"/>
      <c r="W24" s="31"/>
      <c r="X24" s="31"/>
      <c r="Y24" s="31"/>
      <c r="Z24" s="31"/>
    </row>
    <row r="25" ht="15.75" customHeight="1">
      <c r="A25" s="31"/>
      <c r="B25" s="31"/>
      <c r="C25" s="31"/>
      <c r="D25" s="31"/>
      <c r="E25" s="31"/>
      <c r="F25" s="31"/>
      <c r="G25" s="31"/>
      <c r="H25" s="31"/>
      <c r="I25" s="31"/>
      <c r="J25" s="31"/>
      <c r="K25" s="31"/>
      <c r="L25" s="31"/>
      <c r="M25" s="31"/>
      <c r="N25" s="31"/>
      <c r="O25" s="31"/>
      <c r="P25" s="31"/>
      <c r="Q25" s="31"/>
      <c r="R25" s="31"/>
      <c r="S25" s="31"/>
      <c r="T25" s="31"/>
      <c r="U25" s="31"/>
      <c r="V25" s="31"/>
      <c r="W25" s="31"/>
      <c r="X25" s="31"/>
      <c r="Y25" s="31"/>
      <c r="Z25" s="31"/>
    </row>
    <row r="26" ht="15.75" customHeight="1">
      <c r="A26" s="31"/>
      <c r="B26" s="31"/>
      <c r="C26" s="31"/>
      <c r="D26" s="31"/>
      <c r="E26" s="31"/>
      <c r="F26" s="31"/>
      <c r="G26" s="31"/>
      <c r="H26" s="31"/>
      <c r="I26" s="31"/>
      <c r="J26" s="31"/>
      <c r="K26" s="31"/>
      <c r="L26" s="31"/>
      <c r="M26" s="31"/>
      <c r="N26" s="31"/>
      <c r="O26" s="31"/>
      <c r="P26" s="31"/>
      <c r="Q26" s="31"/>
      <c r="R26" s="31"/>
      <c r="S26" s="31"/>
      <c r="T26" s="31"/>
      <c r="U26" s="31"/>
      <c r="V26" s="31"/>
      <c r="W26" s="31"/>
      <c r="X26" s="31"/>
      <c r="Y26" s="31"/>
      <c r="Z26" s="31"/>
    </row>
    <row r="27" ht="15.75" customHeight="1">
      <c r="A27" s="31"/>
      <c r="B27" s="31"/>
      <c r="C27" s="31"/>
      <c r="D27" s="31"/>
      <c r="E27" s="31"/>
      <c r="F27" s="31"/>
      <c r="G27" s="31"/>
      <c r="H27" s="31"/>
      <c r="I27" s="31"/>
      <c r="J27" s="31"/>
      <c r="K27" s="31"/>
      <c r="L27" s="31"/>
      <c r="M27" s="31"/>
      <c r="N27" s="31"/>
      <c r="O27" s="31"/>
      <c r="P27" s="31"/>
      <c r="Q27" s="31"/>
      <c r="R27" s="31"/>
      <c r="S27" s="31"/>
      <c r="T27" s="31"/>
      <c r="U27" s="31"/>
      <c r="V27" s="31"/>
      <c r="W27" s="31"/>
      <c r="X27" s="31"/>
      <c r="Y27" s="31"/>
      <c r="Z27" s="31"/>
    </row>
    <row r="28" ht="15.75" customHeight="1">
      <c r="A28" s="31"/>
      <c r="B28" s="31"/>
      <c r="C28" s="31"/>
      <c r="D28" s="31"/>
      <c r="E28" s="31"/>
      <c r="F28" s="31"/>
      <c r="G28" s="31"/>
      <c r="H28" s="31"/>
      <c r="I28" s="31"/>
      <c r="J28" s="31"/>
      <c r="K28" s="31"/>
      <c r="L28" s="31"/>
      <c r="M28" s="31"/>
      <c r="N28" s="31"/>
      <c r="O28" s="31"/>
      <c r="P28" s="31"/>
      <c r="Q28" s="31"/>
      <c r="R28" s="31"/>
      <c r="S28" s="31"/>
      <c r="T28" s="31"/>
      <c r="U28" s="31"/>
      <c r="V28" s="31"/>
      <c r="W28" s="31"/>
      <c r="X28" s="31"/>
      <c r="Y28" s="31"/>
      <c r="Z28" s="31"/>
    </row>
    <row r="29" ht="15.75" customHeight="1">
      <c r="A29" s="31"/>
      <c r="B29" s="31"/>
      <c r="C29" s="31"/>
      <c r="D29" s="31"/>
      <c r="E29" s="31"/>
      <c r="F29" s="31"/>
      <c r="G29" s="31"/>
      <c r="H29" s="31"/>
      <c r="I29" s="31"/>
      <c r="J29" s="31"/>
      <c r="K29" s="31"/>
      <c r="L29" s="31"/>
      <c r="M29" s="31"/>
      <c r="N29" s="31"/>
      <c r="O29" s="31"/>
      <c r="P29" s="31"/>
      <c r="Q29" s="31"/>
      <c r="R29" s="31"/>
      <c r="S29" s="31"/>
      <c r="T29" s="31"/>
      <c r="U29" s="31"/>
      <c r="V29" s="31"/>
      <c r="W29" s="31"/>
      <c r="X29" s="31"/>
      <c r="Y29" s="31"/>
      <c r="Z29" s="31"/>
    </row>
    <row r="30" ht="15.75" customHeight="1">
      <c r="A30" s="31"/>
      <c r="B30" s="31"/>
      <c r="C30" s="31"/>
      <c r="D30" s="31"/>
      <c r="E30" s="31"/>
      <c r="F30" s="31"/>
      <c r="G30" s="31"/>
      <c r="H30" s="31"/>
      <c r="I30" s="31"/>
      <c r="J30" s="31"/>
      <c r="K30" s="31"/>
      <c r="L30" s="31"/>
      <c r="M30" s="31"/>
      <c r="N30" s="31"/>
      <c r="O30" s="31"/>
      <c r="P30" s="31"/>
      <c r="Q30" s="31"/>
      <c r="R30" s="31"/>
      <c r="S30" s="31"/>
      <c r="T30" s="31"/>
      <c r="U30" s="31"/>
      <c r="V30" s="31"/>
      <c r="W30" s="31"/>
      <c r="X30" s="31"/>
      <c r="Y30" s="31"/>
      <c r="Z30" s="31"/>
    </row>
    <row r="31" ht="15.75" customHeight="1">
      <c r="A31" s="31"/>
      <c r="B31" s="31"/>
      <c r="C31" s="31"/>
      <c r="D31" s="31"/>
      <c r="E31" s="31"/>
      <c r="F31" s="31"/>
      <c r="G31" s="31"/>
      <c r="H31" s="31"/>
      <c r="I31" s="31"/>
      <c r="J31" s="31"/>
      <c r="K31" s="31"/>
      <c r="L31" s="31"/>
      <c r="M31" s="31"/>
      <c r="N31" s="31"/>
      <c r="O31" s="31"/>
      <c r="P31" s="31"/>
      <c r="Q31" s="31"/>
      <c r="R31" s="31"/>
      <c r="S31" s="31"/>
      <c r="T31" s="31"/>
      <c r="U31" s="31"/>
      <c r="V31" s="31"/>
      <c r="W31" s="31"/>
      <c r="X31" s="31"/>
      <c r="Y31" s="31"/>
      <c r="Z31" s="31"/>
    </row>
    <row r="32" ht="15.75" customHeight="1">
      <c r="A32" s="31"/>
      <c r="B32" s="31"/>
      <c r="C32" s="31"/>
      <c r="D32" s="31"/>
      <c r="E32" s="31"/>
      <c r="F32" s="31"/>
      <c r="G32" s="31"/>
      <c r="H32" s="31"/>
      <c r="I32" s="31"/>
      <c r="J32" s="31"/>
      <c r="K32" s="31"/>
      <c r="L32" s="31"/>
      <c r="M32" s="31"/>
      <c r="N32" s="31"/>
      <c r="O32" s="31"/>
      <c r="P32" s="31"/>
      <c r="Q32" s="31"/>
      <c r="R32" s="31"/>
      <c r="S32" s="31"/>
      <c r="T32" s="31"/>
      <c r="U32" s="31"/>
      <c r="V32" s="31"/>
      <c r="W32" s="31"/>
      <c r="X32" s="31"/>
      <c r="Y32" s="31"/>
      <c r="Z32" s="31"/>
    </row>
    <row r="33" ht="15.75" customHeight="1">
      <c r="A33" s="31"/>
      <c r="B33" s="31"/>
      <c r="C33" s="31"/>
      <c r="D33" s="31"/>
      <c r="E33" s="31"/>
      <c r="F33" s="31"/>
      <c r="G33" s="31"/>
      <c r="H33" s="31"/>
      <c r="I33" s="31"/>
      <c r="J33" s="31"/>
      <c r="K33" s="31"/>
      <c r="L33" s="31"/>
      <c r="M33" s="31"/>
      <c r="N33" s="31"/>
      <c r="O33" s="31"/>
      <c r="P33" s="31"/>
      <c r="Q33" s="31"/>
      <c r="R33" s="31"/>
      <c r="S33" s="31"/>
      <c r="T33" s="31"/>
      <c r="U33" s="31"/>
      <c r="V33" s="31"/>
      <c r="W33" s="31"/>
      <c r="X33" s="31"/>
      <c r="Y33" s="31"/>
      <c r="Z33" s="31"/>
    </row>
    <row r="34" ht="15.75" customHeight="1">
      <c r="A34" s="31"/>
      <c r="B34" s="31"/>
      <c r="C34" s="31"/>
      <c r="D34" s="31"/>
      <c r="E34" s="31"/>
      <c r="F34" s="31"/>
      <c r="G34" s="31"/>
      <c r="H34" s="31"/>
      <c r="I34" s="31"/>
      <c r="J34" s="31"/>
      <c r="K34" s="31"/>
      <c r="L34" s="31"/>
      <c r="M34" s="31"/>
      <c r="N34" s="31"/>
      <c r="O34" s="31"/>
      <c r="P34" s="31"/>
      <c r="Q34" s="31"/>
      <c r="R34" s="31"/>
      <c r="S34" s="31"/>
      <c r="T34" s="31"/>
      <c r="U34" s="31"/>
      <c r="V34" s="31"/>
      <c r="W34" s="31"/>
      <c r="X34" s="31"/>
      <c r="Y34" s="31"/>
      <c r="Z34" s="31"/>
    </row>
    <row r="35" ht="15.75" customHeight="1">
      <c r="A35" s="31"/>
      <c r="B35" s="31"/>
      <c r="C35" s="31"/>
      <c r="D35" s="31"/>
      <c r="E35" s="31"/>
      <c r="F35" s="31"/>
      <c r="G35" s="31"/>
      <c r="H35" s="31"/>
      <c r="I35" s="31"/>
      <c r="J35" s="31"/>
      <c r="K35" s="31"/>
      <c r="L35" s="31"/>
      <c r="M35" s="31"/>
      <c r="N35" s="31"/>
      <c r="O35" s="31"/>
      <c r="P35" s="31"/>
      <c r="Q35" s="31"/>
      <c r="R35" s="31"/>
      <c r="S35" s="31"/>
      <c r="T35" s="31"/>
      <c r="U35" s="31"/>
      <c r="V35" s="31"/>
      <c r="W35" s="31"/>
      <c r="X35" s="31"/>
      <c r="Y35" s="31"/>
      <c r="Z35" s="31"/>
    </row>
    <row r="36" ht="15.75" customHeight="1">
      <c r="A36" s="31"/>
      <c r="B36" s="31"/>
      <c r="C36" s="31"/>
      <c r="D36" s="31"/>
      <c r="E36" s="31"/>
      <c r="F36" s="31"/>
      <c r="G36" s="31"/>
      <c r="H36" s="31"/>
      <c r="I36" s="31"/>
      <c r="J36" s="31"/>
      <c r="K36" s="31"/>
      <c r="L36" s="31"/>
      <c r="M36" s="31"/>
      <c r="N36" s="31"/>
      <c r="O36" s="31"/>
      <c r="P36" s="31"/>
      <c r="Q36" s="31"/>
      <c r="R36" s="31"/>
      <c r="S36" s="31"/>
      <c r="T36" s="31"/>
      <c r="U36" s="31"/>
      <c r="V36" s="31"/>
      <c r="W36" s="31"/>
      <c r="X36" s="31"/>
      <c r="Y36" s="31"/>
      <c r="Z36" s="31"/>
    </row>
    <row r="37" ht="15.75" customHeight="1">
      <c r="A37" s="31"/>
      <c r="B37" s="31"/>
      <c r="C37" s="31"/>
      <c r="D37" s="31"/>
      <c r="E37" s="31"/>
      <c r="F37" s="31"/>
      <c r="G37" s="31"/>
      <c r="H37" s="31"/>
      <c r="I37" s="31"/>
      <c r="J37" s="31"/>
      <c r="K37" s="31"/>
      <c r="L37" s="31"/>
      <c r="M37" s="31"/>
      <c r="N37" s="31"/>
      <c r="O37" s="31"/>
      <c r="P37" s="31"/>
      <c r="Q37" s="31"/>
      <c r="R37" s="31"/>
      <c r="S37" s="31"/>
      <c r="T37" s="31"/>
      <c r="U37" s="31"/>
      <c r="V37" s="31"/>
      <c r="W37" s="31"/>
      <c r="X37" s="31"/>
      <c r="Y37" s="31"/>
      <c r="Z37" s="31"/>
    </row>
    <row r="38" ht="15.75" customHeight="1">
      <c r="A38" s="31"/>
      <c r="B38" s="31"/>
      <c r="C38" s="31"/>
      <c r="D38" s="31"/>
      <c r="E38" s="31"/>
      <c r="F38" s="31"/>
      <c r="G38" s="31"/>
      <c r="H38" s="31"/>
      <c r="I38" s="31"/>
      <c r="J38" s="31"/>
      <c r="K38" s="31"/>
      <c r="L38" s="31"/>
      <c r="M38" s="31"/>
      <c r="N38" s="31"/>
      <c r="O38" s="31"/>
      <c r="P38" s="31"/>
      <c r="Q38" s="31"/>
      <c r="R38" s="31"/>
      <c r="S38" s="31"/>
      <c r="T38" s="31"/>
      <c r="U38" s="31"/>
      <c r="V38" s="31"/>
      <c r="W38" s="31"/>
      <c r="X38" s="31"/>
      <c r="Y38" s="31"/>
      <c r="Z38" s="31"/>
    </row>
    <row r="39" ht="15.75" customHeight="1">
      <c r="A39" s="31"/>
      <c r="B39" s="31"/>
      <c r="C39" s="31"/>
      <c r="D39" s="31"/>
      <c r="E39" s="31"/>
      <c r="F39" s="31"/>
      <c r="G39" s="31"/>
      <c r="H39" s="31"/>
      <c r="I39" s="31"/>
      <c r="J39" s="31"/>
      <c r="K39" s="31"/>
      <c r="L39" s="31"/>
      <c r="M39" s="31"/>
      <c r="N39" s="31"/>
      <c r="O39" s="31"/>
      <c r="P39" s="31"/>
      <c r="Q39" s="31"/>
      <c r="R39" s="31"/>
      <c r="S39" s="31"/>
      <c r="T39" s="31"/>
      <c r="U39" s="31"/>
      <c r="V39" s="31"/>
      <c r="W39" s="31"/>
      <c r="X39" s="31"/>
      <c r="Y39" s="31"/>
      <c r="Z39" s="31"/>
    </row>
    <row r="40" ht="15.75" customHeight="1">
      <c r="A40" s="31"/>
      <c r="B40" s="31"/>
      <c r="C40" s="31"/>
      <c r="D40" s="31"/>
      <c r="E40" s="31"/>
      <c r="F40" s="31"/>
      <c r="G40" s="31"/>
      <c r="H40" s="31"/>
      <c r="I40" s="31"/>
      <c r="J40" s="31"/>
      <c r="K40" s="31"/>
      <c r="L40" s="31"/>
      <c r="M40" s="31"/>
      <c r="N40" s="31"/>
      <c r="O40" s="31"/>
      <c r="P40" s="31"/>
      <c r="Q40" s="31"/>
      <c r="R40" s="31"/>
      <c r="S40" s="31"/>
      <c r="T40" s="31"/>
      <c r="U40" s="31"/>
      <c r="V40" s="31"/>
      <c r="W40" s="31"/>
      <c r="X40" s="31"/>
      <c r="Y40" s="31"/>
      <c r="Z40" s="31"/>
    </row>
    <row r="41" ht="15.75" customHeight="1">
      <c r="A41" s="31"/>
      <c r="B41" s="31"/>
      <c r="C41" s="31"/>
      <c r="D41" s="31"/>
      <c r="E41" s="31"/>
      <c r="F41" s="31"/>
      <c r="G41" s="31"/>
      <c r="H41" s="31"/>
      <c r="I41" s="31"/>
      <c r="J41" s="31"/>
      <c r="K41" s="31"/>
      <c r="L41" s="31"/>
      <c r="M41" s="31"/>
      <c r="N41" s="31"/>
      <c r="O41" s="31"/>
      <c r="P41" s="31"/>
      <c r="Q41" s="31"/>
      <c r="R41" s="31"/>
      <c r="S41" s="31"/>
      <c r="T41" s="31"/>
      <c r="U41" s="31"/>
      <c r="V41" s="31"/>
      <c r="W41" s="31"/>
      <c r="X41" s="31"/>
      <c r="Y41" s="31"/>
      <c r="Z41" s="31"/>
    </row>
    <row r="42" ht="15.75" customHeight="1">
      <c r="A42" s="31"/>
      <c r="B42" s="31"/>
      <c r="C42" s="31"/>
      <c r="D42" s="31"/>
      <c r="E42" s="31"/>
      <c r="F42" s="31"/>
      <c r="G42" s="31"/>
      <c r="H42" s="31"/>
      <c r="I42" s="31"/>
      <c r="J42" s="31"/>
      <c r="K42" s="31"/>
      <c r="L42" s="31"/>
      <c r="M42" s="31"/>
      <c r="N42" s="31"/>
      <c r="O42" s="31"/>
      <c r="P42" s="31"/>
      <c r="Q42" s="31"/>
      <c r="R42" s="31"/>
      <c r="S42" s="31"/>
      <c r="T42" s="31"/>
      <c r="U42" s="31"/>
      <c r="V42" s="31"/>
      <c r="W42" s="31"/>
      <c r="X42" s="31"/>
      <c r="Y42" s="31"/>
      <c r="Z42" s="31"/>
    </row>
    <row r="43" ht="15.75" customHeight="1">
      <c r="A43" s="31"/>
      <c r="B43" s="31"/>
      <c r="C43" s="31"/>
      <c r="D43" s="31"/>
      <c r="E43" s="31"/>
      <c r="F43" s="31"/>
      <c r="G43" s="31"/>
      <c r="H43" s="31"/>
      <c r="I43" s="31"/>
      <c r="J43" s="31"/>
      <c r="K43" s="31"/>
      <c r="L43" s="31"/>
      <c r="M43" s="31"/>
      <c r="N43" s="31"/>
      <c r="O43" s="31"/>
      <c r="P43" s="31"/>
      <c r="Q43" s="31"/>
      <c r="R43" s="31"/>
      <c r="S43" s="31"/>
      <c r="T43" s="31"/>
      <c r="U43" s="31"/>
      <c r="V43" s="31"/>
      <c r="W43" s="31"/>
      <c r="X43" s="31"/>
      <c r="Y43" s="31"/>
      <c r="Z43" s="31"/>
    </row>
    <row r="44" ht="15.75" customHeight="1">
      <c r="A44" s="31"/>
      <c r="B44" s="31"/>
      <c r="C44" s="31"/>
      <c r="D44" s="31"/>
      <c r="E44" s="31"/>
      <c r="F44" s="31"/>
      <c r="G44" s="31"/>
      <c r="H44" s="31"/>
      <c r="I44" s="31"/>
      <c r="J44" s="31"/>
      <c r="K44" s="31"/>
      <c r="L44" s="31"/>
      <c r="M44" s="31"/>
      <c r="N44" s="31"/>
      <c r="O44" s="31"/>
      <c r="P44" s="31"/>
      <c r="Q44" s="31"/>
      <c r="R44" s="31"/>
      <c r="S44" s="31"/>
      <c r="T44" s="31"/>
      <c r="U44" s="31"/>
      <c r="V44" s="31"/>
      <c r="W44" s="31"/>
      <c r="X44" s="31"/>
      <c r="Y44" s="31"/>
      <c r="Z44" s="31"/>
    </row>
    <row r="45" ht="15.75" customHeight="1">
      <c r="A45" s="31"/>
      <c r="B45" s="31"/>
      <c r="C45" s="31"/>
      <c r="D45" s="31"/>
      <c r="E45" s="31"/>
      <c r="F45" s="31"/>
      <c r="G45" s="31"/>
      <c r="H45" s="31"/>
      <c r="I45" s="31"/>
      <c r="J45" s="31"/>
      <c r="K45" s="31"/>
      <c r="L45" s="31"/>
      <c r="M45" s="31"/>
      <c r="N45" s="31"/>
      <c r="O45" s="31"/>
      <c r="P45" s="31"/>
      <c r="Q45" s="31"/>
      <c r="R45" s="31"/>
      <c r="S45" s="31"/>
      <c r="T45" s="31"/>
      <c r="U45" s="31"/>
      <c r="V45" s="31"/>
      <c r="W45" s="31"/>
      <c r="X45" s="31"/>
      <c r="Y45" s="31"/>
      <c r="Z45" s="31"/>
    </row>
    <row r="46" ht="15.75" customHeight="1">
      <c r="A46" s="31"/>
      <c r="B46" s="31"/>
      <c r="C46" s="31"/>
      <c r="D46" s="31"/>
      <c r="E46" s="31"/>
      <c r="F46" s="31"/>
      <c r="G46" s="31"/>
      <c r="H46" s="31"/>
      <c r="I46" s="31"/>
      <c r="J46" s="31"/>
      <c r="K46" s="31"/>
      <c r="L46" s="31"/>
      <c r="M46" s="31"/>
      <c r="N46" s="31"/>
      <c r="O46" s="31"/>
      <c r="P46" s="31"/>
      <c r="Q46" s="31"/>
      <c r="R46" s="31"/>
      <c r="S46" s="31"/>
      <c r="T46" s="31"/>
      <c r="U46" s="31"/>
      <c r="V46" s="31"/>
      <c r="W46" s="31"/>
      <c r="X46" s="31"/>
      <c r="Y46" s="31"/>
      <c r="Z46" s="31"/>
    </row>
    <row r="47" ht="15.75" customHeight="1">
      <c r="A47" s="31"/>
      <c r="B47" s="31"/>
      <c r="C47" s="31"/>
      <c r="D47" s="31"/>
      <c r="E47" s="31"/>
      <c r="F47" s="31"/>
      <c r="G47" s="31"/>
      <c r="H47" s="31"/>
      <c r="I47" s="31"/>
      <c r="J47" s="31"/>
      <c r="K47" s="31"/>
      <c r="L47" s="31"/>
      <c r="M47" s="31"/>
      <c r="N47" s="31"/>
      <c r="O47" s="31"/>
      <c r="P47" s="31"/>
      <c r="Q47" s="31"/>
      <c r="R47" s="31"/>
      <c r="S47" s="31"/>
      <c r="T47" s="31"/>
      <c r="U47" s="31"/>
      <c r="V47" s="31"/>
      <c r="W47" s="31"/>
      <c r="X47" s="31"/>
      <c r="Y47" s="31"/>
      <c r="Z47" s="31"/>
    </row>
    <row r="48" ht="15.75" customHeight="1">
      <c r="A48" s="31"/>
      <c r="B48" s="31"/>
      <c r="C48" s="31"/>
      <c r="D48" s="31"/>
      <c r="E48" s="31"/>
      <c r="F48" s="31"/>
      <c r="G48" s="31"/>
      <c r="H48" s="31"/>
      <c r="I48" s="31"/>
      <c r="J48" s="31"/>
      <c r="K48" s="31"/>
      <c r="L48" s="31"/>
      <c r="M48" s="31"/>
      <c r="N48" s="31"/>
      <c r="O48" s="31"/>
      <c r="P48" s="31"/>
      <c r="Q48" s="31"/>
      <c r="R48" s="31"/>
      <c r="S48" s="31"/>
      <c r="T48" s="31"/>
      <c r="U48" s="31"/>
      <c r="V48" s="31"/>
      <c r="W48" s="31"/>
      <c r="X48" s="31"/>
      <c r="Y48" s="31"/>
      <c r="Z48" s="31"/>
    </row>
    <row r="49" ht="15.75" customHeight="1">
      <c r="A49" s="31"/>
      <c r="B49" s="31"/>
      <c r="C49" s="31"/>
      <c r="D49" s="31"/>
      <c r="E49" s="31"/>
      <c r="F49" s="31"/>
      <c r="G49" s="31"/>
      <c r="H49" s="31"/>
      <c r="I49" s="31"/>
      <c r="J49" s="31"/>
      <c r="K49" s="31"/>
      <c r="L49" s="31"/>
      <c r="M49" s="31"/>
      <c r="N49" s="31"/>
      <c r="O49" s="31"/>
      <c r="P49" s="31"/>
      <c r="Q49" s="31"/>
      <c r="R49" s="31"/>
      <c r="S49" s="31"/>
      <c r="T49" s="31"/>
      <c r="U49" s="31"/>
      <c r="V49" s="31"/>
      <c r="W49" s="31"/>
      <c r="X49" s="31"/>
      <c r="Y49" s="31"/>
      <c r="Z49" s="31"/>
    </row>
    <row r="50" ht="15.75" customHeight="1">
      <c r="A50" s="31"/>
      <c r="B50" s="31"/>
      <c r="C50" s="31"/>
      <c r="D50" s="31"/>
      <c r="E50" s="31"/>
      <c r="F50" s="31"/>
      <c r="G50" s="31"/>
      <c r="H50" s="31"/>
      <c r="I50" s="31"/>
      <c r="J50" s="31"/>
      <c r="K50" s="31"/>
      <c r="L50" s="31"/>
      <c r="M50" s="31"/>
      <c r="N50" s="31"/>
      <c r="O50" s="31"/>
      <c r="P50" s="31"/>
      <c r="Q50" s="31"/>
      <c r="R50" s="31"/>
      <c r="S50" s="31"/>
      <c r="T50" s="31"/>
      <c r="U50" s="31"/>
      <c r="V50" s="31"/>
      <c r="W50" s="31"/>
      <c r="X50" s="31"/>
      <c r="Y50" s="31"/>
      <c r="Z50" s="31"/>
    </row>
    <row r="51" ht="15.75" customHeight="1">
      <c r="A51" s="31"/>
      <c r="B51" s="31"/>
      <c r="C51" s="31"/>
      <c r="D51" s="31"/>
      <c r="E51" s="31"/>
      <c r="F51" s="31"/>
      <c r="G51" s="31"/>
      <c r="H51" s="31"/>
      <c r="I51" s="31"/>
      <c r="J51" s="31"/>
      <c r="K51" s="31"/>
      <c r="L51" s="31"/>
      <c r="M51" s="31"/>
      <c r="N51" s="31"/>
      <c r="O51" s="31"/>
      <c r="P51" s="31"/>
      <c r="Q51" s="31"/>
      <c r="R51" s="31"/>
      <c r="S51" s="31"/>
      <c r="T51" s="31"/>
      <c r="U51" s="31"/>
      <c r="V51" s="31"/>
      <c r="W51" s="31"/>
      <c r="X51" s="31"/>
      <c r="Y51" s="31"/>
      <c r="Z51" s="31"/>
    </row>
    <row r="52" ht="15.75" customHeight="1">
      <c r="A52" s="31"/>
      <c r="B52" s="31"/>
      <c r="C52" s="31"/>
      <c r="D52" s="31"/>
      <c r="E52" s="31"/>
      <c r="F52" s="31"/>
      <c r="G52" s="31"/>
      <c r="H52" s="31"/>
      <c r="I52" s="31"/>
      <c r="J52" s="31"/>
      <c r="K52" s="31"/>
      <c r="L52" s="31"/>
      <c r="M52" s="31"/>
      <c r="N52" s="31"/>
      <c r="O52" s="31"/>
      <c r="P52" s="31"/>
      <c r="Q52" s="31"/>
      <c r="R52" s="31"/>
      <c r="S52" s="31"/>
      <c r="T52" s="31"/>
      <c r="U52" s="31"/>
      <c r="V52" s="31"/>
      <c r="W52" s="31"/>
      <c r="X52" s="31"/>
      <c r="Y52" s="31"/>
      <c r="Z52" s="31"/>
    </row>
    <row r="53" ht="15.75" customHeight="1">
      <c r="A53" s="31"/>
      <c r="B53" s="31"/>
      <c r="C53" s="31"/>
      <c r="D53" s="31"/>
      <c r="E53" s="31"/>
      <c r="F53" s="31"/>
      <c r="G53" s="31"/>
      <c r="H53" s="31"/>
      <c r="I53" s="31"/>
      <c r="J53" s="31"/>
      <c r="K53" s="31"/>
      <c r="L53" s="31"/>
      <c r="M53" s="31"/>
      <c r="N53" s="31"/>
      <c r="O53" s="31"/>
      <c r="P53" s="31"/>
      <c r="Q53" s="31"/>
      <c r="R53" s="31"/>
      <c r="S53" s="31"/>
      <c r="T53" s="31"/>
      <c r="U53" s="31"/>
      <c r="V53" s="31"/>
      <c r="W53" s="31"/>
      <c r="X53" s="31"/>
      <c r="Y53" s="31"/>
      <c r="Z53" s="31"/>
    </row>
    <row r="54" ht="15.75" customHeight="1">
      <c r="A54" s="31"/>
      <c r="B54" s="31"/>
      <c r="C54" s="31"/>
      <c r="D54" s="31"/>
      <c r="E54" s="31"/>
      <c r="F54" s="31"/>
      <c r="G54" s="31"/>
      <c r="H54" s="31"/>
      <c r="I54" s="31"/>
      <c r="J54" s="31"/>
      <c r="K54" s="31"/>
      <c r="L54" s="31"/>
      <c r="M54" s="31"/>
      <c r="N54" s="31"/>
      <c r="O54" s="31"/>
      <c r="P54" s="31"/>
      <c r="Q54" s="31"/>
      <c r="R54" s="31"/>
      <c r="S54" s="31"/>
      <c r="T54" s="31"/>
      <c r="U54" s="31"/>
      <c r="V54" s="31"/>
      <c r="W54" s="31"/>
      <c r="X54" s="31"/>
      <c r="Y54" s="31"/>
      <c r="Z54" s="31"/>
    </row>
    <row r="55" ht="15.75" customHeight="1">
      <c r="A55" s="31"/>
      <c r="B55" s="31"/>
      <c r="C55" s="31"/>
      <c r="D55" s="31"/>
      <c r="E55" s="31"/>
      <c r="F55" s="31"/>
      <c r="G55" s="31"/>
      <c r="H55" s="31"/>
      <c r="I55" s="31"/>
      <c r="J55" s="31"/>
      <c r="K55" s="31"/>
      <c r="L55" s="31"/>
      <c r="M55" s="31"/>
      <c r="N55" s="31"/>
      <c r="O55" s="31"/>
      <c r="P55" s="31"/>
      <c r="Q55" s="31"/>
      <c r="R55" s="31"/>
      <c r="S55" s="31"/>
      <c r="T55" s="31"/>
      <c r="U55" s="31"/>
      <c r="V55" s="31"/>
      <c r="W55" s="31"/>
      <c r="X55" s="31"/>
      <c r="Y55" s="31"/>
      <c r="Z55" s="31"/>
    </row>
    <row r="56" ht="15.75" customHeight="1">
      <c r="A56" s="31"/>
      <c r="B56" s="31"/>
      <c r="C56" s="31"/>
      <c r="D56" s="31"/>
      <c r="E56" s="31"/>
      <c r="F56" s="31"/>
      <c r="G56" s="31"/>
      <c r="H56" s="31"/>
      <c r="I56" s="31"/>
      <c r="J56" s="31"/>
      <c r="K56" s="31"/>
      <c r="L56" s="31"/>
      <c r="M56" s="31"/>
      <c r="N56" s="31"/>
      <c r="O56" s="31"/>
      <c r="P56" s="31"/>
      <c r="Q56" s="31"/>
      <c r="R56" s="31"/>
      <c r="S56" s="31"/>
      <c r="T56" s="31"/>
      <c r="U56" s="31"/>
      <c r="V56" s="31"/>
      <c r="W56" s="31"/>
      <c r="X56" s="31"/>
      <c r="Y56" s="31"/>
      <c r="Z56" s="31"/>
    </row>
    <row r="57" ht="15.75" customHeight="1">
      <c r="A57" s="31"/>
      <c r="B57" s="31"/>
      <c r="C57" s="31"/>
      <c r="D57" s="31"/>
      <c r="E57" s="31"/>
      <c r="F57" s="31"/>
      <c r="G57" s="31"/>
      <c r="H57" s="31"/>
      <c r="I57" s="31"/>
      <c r="J57" s="31"/>
      <c r="K57" s="31"/>
      <c r="L57" s="31"/>
      <c r="M57" s="31"/>
      <c r="N57" s="31"/>
      <c r="O57" s="31"/>
      <c r="P57" s="31"/>
      <c r="Q57" s="31"/>
      <c r="R57" s="31"/>
      <c r="S57" s="31"/>
      <c r="T57" s="31"/>
      <c r="U57" s="31"/>
      <c r="V57" s="31"/>
      <c r="W57" s="31"/>
      <c r="X57" s="31"/>
      <c r="Y57" s="31"/>
      <c r="Z57" s="31"/>
    </row>
    <row r="58" ht="15.75" customHeight="1">
      <c r="A58" s="31"/>
      <c r="B58" s="31"/>
      <c r="C58" s="31"/>
      <c r="D58" s="31"/>
      <c r="E58" s="31"/>
      <c r="F58" s="31"/>
      <c r="G58" s="31"/>
      <c r="H58" s="31"/>
      <c r="I58" s="31"/>
      <c r="J58" s="31"/>
      <c r="K58" s="31"/>
      <c r="L58" s="31"/>
      <c r="M58" s="31"/>
      <c r="N58" s="31"/>
      <c r="O58" s="31"/>
      <c r="P58" s="31"/>
      <c r="Q58" s="31"/>
      <c r="R58" s="31"/>
      <c r="S58" s="31"/>
      <c r="T58" s="31"/>
      <c r="U58" s="31"/>
      <c r="V58" s="31"/>
      <c r="W58" s="31"/>
      <c r="X58" s="31"/>
      <c r="Y58" s="31"/>
      <c r="Z58" s="31"/>
    </row>
    <row r="59" ht="15.75" customHeight="1">
      <c r="A59" s="31"/>
      <c r="B59" s="31"/>
      <c r="C59" s="31"/>
      <c r="D59" s="31"/>
      <c r="E59" s="31"/>
      <c r="F59" s="31"/>
      <c r="G59" s="31"/>
      <c r="H59" s="31"/>
      <c r="I59" s="31"/>
      <c r="J59" s="31"/>
      <c r="K59" s="31"/>
      <c r="L59" s="31"/>
      <c r="M59" s="31"/>
      <c r="N59" s="31"/>
      <c r="O59" s="31"/>
      <c r="P59" s="31"/>
      <c r="Q59" s="31"/>
      <c r="R59" s="31"/>
      <c r="S59" s="31"/>
      <c r="T59" s="31"/>
      <c r="U59" s="31"/>
      <c r="V59" s="31"/>
      <c r="W59" s="31"/>
      <c r="X59" s="31"/>
      <c r="Y59" s="31"/>
      <c r="Z59" s="31"/>
    </row>
    <row r="60" ht="15.75" customHeight="1">
      <c r="A60" s="31"/>
      <c r="B60" s="31"/>
      <c r="C60" s="31"/>
      <c r="D60" s="31"/>
      <c r="E60" s="31"/>
      <c r="F60" s="31"/>
      <c r="G60" s="31"/>
      <c r="H60" s="31"/>
      <c r="I60" s="31"/>
      <c r="J60" s="31"/>
      <c r="K60" s="31"/>
      <c r="L60" s="31"/>
      <c r="M60" s="31"/>
      <c r="N60" s="31"/>
      <c r="O60" s="31"/>
      <c r="P60" s="31"/>
      <c r="Q60" s="31"/>
      <c r="R60" s="31"/>
      <c r="S60" s="31"/>
      <c r="T60" s="31"/>
      <c r="U60" s="31"/>
      <c r="V60" s="31"/>
      <c r="W60" s="31"/>
      <c r="X60" s="31"/>
      <c r="Y60" s="31"/>
      <c r="Z60" s="31"/>
    </row>
    <row r="61" ht="15.75" customHeight="1">
      <c r="A61" s="31"/>
      <c r="B61" s="31"/>
      <c r="C61" s="31"/>
      <c r="D61" s="31"/>
      <c r="E61" s="31"/>
      <c r="F61" s="31"/>
      <c r="G61" s="31"/>
      <c r="H61" s="31"/>
      <c r="I61" s="31"/>
      <c r="J61" s="31"/>
      <c r="K61" s="31"/>
      <c r="L61" s="31"/>
      <c r="M61" s="31"/>
      <c r="N61" s="31"/>
      <c r="O61" s="31"/>
      <c r="P61" s="31"/>
      <c r="Q61" s="31"/>
      <c r="R61" s="31"/>
      <c r="S61" s="31"/>
      <c r="T61" s="31"/>
      <c r="U61" s="31"/>
      <c r="V61" s="31"/>
      <c r="W61" s="31"/>
      <c r="X61" s="31"/>
      <c r="Y61" s="31"/>
      <c r="Z61" s="31"/>
    </row>
    <row r="62" ht="15.75" customHeight="1">
      <c r="A62" s="31"/>
      <c r="B62" s="31"/>
      <c r="C62" s="31"/>
      <c r="D62" s="31"/>
      <c r="E62" s="31"/>
      <c r="F62" s="31"/>
      <c r="G62" s="31"/>
      <c r="H62" s="31"/>
      <c r="I62" s="31"/>
      <c r="J62" s="31"/>
      <c r="K62" s="31"/>
      <c r="L62" s="31"/>
      <c r="M62" s="31"/>
      <c r="N62" s="31"/>
      <c r="O62" s="31"/>
      <c r="P62" s="31"/>
      <c r="Q62" s="31"/>
      <c r="R62" s="31"/>
      <c r="S62" s="31"/>
      <c r="T62" s="31"/>
      <c r="U62" s="31"/>
      <c r="V62" s="31"/>
      <c r="W62" s="31"/>
      <c r="X62" s="31"/>
      <c r="Y62" s="31"/>
      <c r="Z62" s="31"/>
    </row>
    <row r="63" ht="15.75" customHeight="1">
      <c r="A63" s="31"/>
      <c r="B63" s="31"/>
      <c r="C63" s="31"/>
      <c r="D63" s="31"/>
      <c r="E63" s="31"/>
      <c r="F63" s="31"/>
      <c r="G63" s="31"/>
      <c r="H63" s="31"/>
      <c r="I63" s="31"/>
      <c r="J63" s="31"/>
      <c r="K63" s="31"/>
      <c r="L63" s="31"/>
      <c r="M63" s="31"/>
      <c r="N63" s="31"/>
      <c r="O63" s="31"/>
      <c r="P63" s="31"/>
      <c r="Q63" s="31"/>
      <c r="R63" s="31"/>
      <c r="S63" s="31"/>
      <c r="T63" s="31"/>
      <c r="U63" s="31"/>
      <c r="V63" s="31"/>
      <c r="W63" s="31"/>
      <c r="X63" s="31"/>
      <c r="Y63" s="31"/>
      <c r="Z63" s="31"/>
    </row>
    <row r="64" ht="15.75" customHeight="1">
      <c r="A64" s="31"/>
      <c r="B64" s="31"/>
      <c r="C64" s="31"/>
      <c r="D64" s="31"/>
      <c r="E64" s="31"/>
      <c r="F64" s="31"/>
      <c r="G64" s="31"/>
      <c r="H64" s="31"/>
      <c r="I64" s="31"/>
      <c r="J64" s="31"/>
      <c r="K64" s="31"/>
      <c r="L64" s="31"/>
      <c r="M64" s="31"/>
      <c r="N64" s="31"/>
      <c r="O64" s="31"/>
      <c r="P64" s="31"/>
      <c r="Q64" s="31"/>
      <c r="R64" s="31"/>
      <c r="S64" s="31"/>
      <c r="T64" s="31"/>
      <c r="U64" s="31"/>
      <c r="V64" s="31"/>
      <c r="W64" s="31"/>
      <c r="X64" s="31"/>
      <c r="Y64" s="31"/>
      <c r="Z64" s="31"/>
    </row>
    <row r="65" ht="15.75" customHeight="1">
      <c r="A65" s="31"/>
      <c r="B65" s="31"/>
      <c r="C65" s="31"/>
      <c r="D65" s="31"/>
      <c r="E65" s="31"/>
      <c r="F65" s="31"/>
      <c r="G65" s="31"/>
      <c r="H65" s="31"/>
      <c r="I65" s="31"/>
      <c r="J65" s="31"/>
      <c r="K65" s="31"/>
      <c r="L65" s="31"/>
      <c r="M65" s="31"/>
      <c r="N65" s="31"/>
      <c r="O65" s="31"/>
      <c r="P65" s="31"/>
      <c r="Q65" s="31"/>
      <c r="R65" s="31"/>
      <c r="S65" s="31"/>
      <c r="T65" s="31"/>
      <c r="U65" s="31"/>
      <c r="V65" s="31"/>
      <c r="W65" s="31"/>
      <c r="X65" s="31"/>
      <c r="Y65" s="31"/>
      <c r="Z65" s="31"/>
    </row>
    <row r="66" ht="15.75" customHeight="1">
      <c r="A66" s="31"/>
      <c r="B66" s="31"/>
      <c r="C66" s="31"/>
      <c r="D66" s="31"/>
      <c r="E66" s="31"/>
      <c r="F66" s="31"/>
      <c r="G66" s="31"/>
      <c r="H66" s="31"/>
      <c r="I66" s="31"/>
      <c r="J66" s="31"/>
      <c r="K66" s="31"/>
      <c r="L66" s="31"/>
      <c r="M66" s="31"/>
      <c r="N66" s="31"/>
      <c r="O66" s="31"/>
      <c r="P66" s="31"/>
      <c r="Q66" s="31"/>
      <c r="R66" s="31"/>
      <c r="S66" s="31"/>
      <c r="T66" s="31"/>
      <c r="U66" s="31"/>
      <c r="V66" s="31"/>
      <c r="W66" s="31"/>
      <c r="X66" s="31"/>
      <c r="Y66" s="31"/>
      <c r="Z66" s="31"/>
    </row>
    <row r="67" ht="15.75" customHeight="1">
      <c r="A67" s="31"/>
      <c r="B67" s="31"/>
      <c r="C67" s="31"/>
      <c r="D67" s="31"/>
      <c r="E67" s="31"/>
      <c r="F67" s="31"/>
      <c r="G67" s="31"/>
      <c r="H67" s="31"/>
      <c r="I67" s="31"/>
      <c r="J67" s="31"/>
      <c r="K67" s="31"/>
      <c r="L67" s="31"/>
      <c r="M67" s="31"/>
      <c r="N67" s="31"/>
      <c r="O67" s="31"/>
      <c r="P67" s="31"/>
      <c r="Q67" s="31"/>
      <c r="R67" s="31"/>
      <c r="S67" s="31"/>
      <c r="T67" s="31"/>
      <c r="U67" s="31"/>
      <c r="V67" s="31"/>
      <c r="W67" s="31"/>
      <c r="X67" s="31"/>
      <c r="Y67" s="31"/>
      <c r="Z67" s="31"/>
    </row>
    <row r="68" ht="15.75" customHeight="1">
      <c r="A68" s="31"/>
      <c r="B68" s="31"/>
      <c r="C68" s="31"/>
      <c r="D68" s="31"/>
      <c r="E68" s="31"/>
      <c r="F68" s="31"/>
      <c r="G68" s="31"/>
      <c r="H68" s="31"/>
      <c r="I68" s="31"/>
      <c r="J68" s="31"/>
      <c r="K68" s="31"/>
      <c r="L68" s="31"/>
      <c r="M68" s="31"/>
      <c r="N68" s="31"/>
      <c r="O68" s="31"/>
      <c r="P68" s="31"/>
      <c r="Q68" s="31"/>
      <c r="R68" s="31"/>
      <c r="S68" s="31"/>
      <c r="T68" s="31"/>
      <c r="U68" s="31"/>
      <c r="V68" s="31"/>
      <c r="W68" s="31"/>
      <c r="X68" s="31"/>
      <c r="Y68" s="31"/>
      <c r="Z68" s="31"/>
    </row>
    <row r="69" ht="15.75" customHeight="1">
      <c r="A69" s="31"/>
      <c r="B69" s="31"/>
      <c r="C69" s="31"/>
      <c r="D69" s="31"/>
      <c r="E69" s="31"/>
      <c r="F69" s="31"/>
      <c r="G69" s="31"/>
      <c r="H69" s="31"/>
      <c r="I69" s="31"/>
      <c r="J69" s="31"/>
      <c r="K69" s="31"/>
      <c r="L69" s="31"/>
      <c r="M69" s="31"/>
      <c r="N69" s="31"/>
      <c r="O69" s="31"/>
      <c r="P69" s="31"/>
      <c r="Q69" s="31"/>
      <c r="R69" s="31"/>
      <c r="S69" s="31"/>
      <c r="T69" s="31"/>
      <c r="U69" s="31"/>
      <c r="V69" s="31"/>
      <c r="W69" s="31"/>
      <c r="X69" s="31"/>
      <c r="Y69" s="31"/>
      <c r="Z69" s="31"/>
    </row>
    <row r="70" ht="15.75" customHeight="1">
      <c r="A70" s="31"/>
      <c r="B70" s="31"/>
      <c r="C70" s="31"/>
      <c r="D70" s="31"/>
      <c r="E70" s="31"/>
      <c r="F70" s="31"/>
      <c r="G70" s="31"/>
      <c r="H70" s="31"/>
      <c r="I70" s="31"/>
      <c r="J70" s="31"/>
      <c r="K70" s="31"/>
      <c r="L70" s="31"/>
      <c r="M70" s="31"/>
      <c r="N70" s="31"/>
      <c r="O70" s="31"/>
      <c r="P70" s="31"/>
      <c r="Q70" s="31"/>
      <c r="R70" s="31"/>
      <c r="S70" s="31"/>
      <c r="T70" s="31"/>
      <c r="U70" s="31"/>
      <c r="V70" s="31"/>
      <c r="W70" s="31"/>
      <c r="X70" s="31"/>
      <c r="Y70" s="31"/>
      <c r="Z70" s="31"/>
    </row>
    <row r="71" ht="15.75" customHeight="1">
      <c r="A71" s="31"/>
      <c r="B71" s="31"/>
      <c r="C71" s="31"/>
      <c r="D71" s="31"/>
      <c r="E71" s="31"/>
      <c r="F71" s="31"/>
      <c r="G71" s="31"/>
      <c r="H71" s="31"/>
      <c r="I71" s="31"/>
      <c r="J71" s="31"/>
      <c r="K71" s="31"/>
      <c r="L71" s="31"/>
      <c r="M71" s="31"/>
      <c r="N71" s="31"/>
      <c r="O71" s="31"/>
      <c r="P71" s="31"/>
      <c r="Q71" s="31"/>
      <c r="R71" s="31"/>
      <c r="S71" s="31"/>
      <c r="T71" s="31"/>
      <c r="U71" s="31"/>
      <c r="V71" s="31"/>
      <c r="W71" s="31"/>
      <c r="X71" s="31"/>
      <c r="Y71" s="31"/>
      <c r="Z71" s="31"/>
    </row>
    <row r="72" ht="15.75" customHeight="1">
      <c r="A72" s="31"/>
      <c r="B72" s="31"/>
      <c r="C72" s="31"/>
      <c r="D72" s="31"/>
      <c r="E72" s="31"/>
      <c r="F72" s="31"/>
      <c r="G72" s="31"/>
      <c r="H72" s="31"/>
      <c r="I72" s="31"/>
      <c r="J72" s="31"/>
      <c r="K72" s="31"/>
      <c r="L72" s="31"/>
      <c r="M72" s="31"/>
      <c r="N72" s="31"/>
      <c r="O72" s="31"/>
      <c r="P72" s="31"/>
      <c r="Q72" s="31"/>
      <c r="R72" s="31"/>
      <c r="S72" s="31"/>
      <c r="T72" s="31"/>
      <c r="U72" s="31"/>
      <c r="V72" s="31"/>
      <c r="W72" s="31"/>
      <c r="X72" s="31"/>
      <c r="Y72" s="31"/>
      <c r="Z72" s="31"/>
    </row>
    <row r="73" ht="15.75" customHeight="1">
      <c r="A73" s="31"/>
      <c r="B73" s="31"/>
      <c r="C73" s="31"/>
      <c r="D73" s="31"/>
      <c r="E73" s="31"/>
      <c r="F73" s="31"/>
      <c r="G73" s="31"/>
      <c r="H73" s="31"/>
      <c r="I73" s="31"/>
      <c r="J73" s="31"/>
      <c r="K73" s="31"/>
      <c r="L73" s="31"/>
      <c r="M73" s="31"/>
      <c r="N73" s="31"/>
      <c r="O73" s="31"/>
      <c r="P73" s="31"/>
      <c r="Q73" s="31"/>
      <c r="R73" s="31"/>
      <c r="S73" s="31"/>
      <c r="T73" s="31"/>
      <c r="U73" s="31"/>
      <c r="V73" s="31"/>
      <c r="W73" s="31"/>
      <c r="X73" s="31"/>
      <c r="Y73" s="31"/>
      <c r="Z73" s="31"/>
    </row>
    <row r="74" ht="15.75" customHeight="1">
      <c r="A74" s="31"/>
      <c r="B74" s="31"/>
      <c r="C74" s="31"/>
      <c r="D74" s="31"/>
      <c r="E74" s="31"/>
      <c r="F74" s="31"/>
      <c r="G74" s="31"/>
      <c r="H74" s="31"/>
      <c r="I74" s="31"/>
      <c r="J74" s="31"/>
      <c r="K74" s="31"/>
      <c r="L74" s="31"/>
      <c r="M74" s="31"/>
      <c r="N74" s="31"/>
      <c r="O74" s="31"/>
      <c r="P74" s="31"/>
      <c r="Q74" s="31"/>
      <c r="R74" s="31"/>
      <c r="S74" s="31"/>
      <c r="T74" s="31"/>
      <c r="U74" s="31"/>
      <c r="V74" s="31"/>
      <c r="W74" s="31"/>
      <c r="X74" s="31"/>
      <c r="Y74" s="31"/>
      <c r="Z74" s="31"/>
    </row>
    <row r="75" ht="15.75" customHeight="1">
      <c r="A75" s="31"/>
      <c r="B75" s="31"/>
      <c r="C75" s="31"/>
      <c r="D75" s="31"/>
      <c r="E75" s="31"/>
      <c r="F75" s="31"/>
      <c r="G75" s="31"/>
      <c r="H75" s="31"/>
      <c r="I75" s="31"/>
      <c r="J75" s="31"/>
      <c r="K75" s="31"/>
      <c r="L75" s="31"/>
      <c r="M75" s="31"/>
      <c r="N75" s="31"/>
      <c r="O75" s="31"/>
      <c r="P75" s="31"/>
      <c r="Q75" s="31"/>
      <c r="R75" s="31"/>
      <c r="S75" s="31"/>
      <c r="T75" s="31"/>
      <c r="U75" s="31"/>
      <c r="V75" s="31"/>
      <c r="W75" s="31"/>
      <c r="X75" s="31"/>
      <c r="Y75" s="31"/>
      <c r="Z75" s="31"/>
    </row>
    <row r="76" ht="15.75" customHeight="1">
      <c r="A76" s="31"/>
      <c r="B76" s="31"/>
      <c r="C76" s="31"/>
      <c r="D76" s="31"/>
      <c r="E76" s="31"/>
      <c r="F76" s="31"/>
      <c r="G76" s="31"/>
      <c r="H76" s="31"/>
      <c r="I76" s="31"/>
      <c r="J76" s="31"/>
      <c r="K76" s="31"/>
      <c r="L76" s="31"/>
      <c r="M76" s="31"/>
      <c r="N76" s="31"/>
      <c r="O76" s="31"/>
      <c r="P76" s="31"/>
      <c r="Q76" s="31"/>
      <c r="R76" s="31"/>
      <c r="S76" s="31"/>
      <c r="T76" s="31"/>
      <c r="U76" s="31"/>
      <c r="V76" s="31"/>
      <c r="W76" s="31"/>
      <c r="X76" s="31"/>
      <c r="Y76" s="31"/>
      <c r="Z76" s="31"/>
    </row>
    <row r="77" ht="15.75" customHeight="1">
      <c r="A77" s="31"/>
      <c r="B77" s="31"/>
      <c r="C77" s="31"/>
      <c r="D77" s="31"/>
      <c r="E77" s="31"/>
      <c r="F77" s="31"/>
      <c r="G77" s="31"/>
      <c r="H77" s="31"/>
      <c r="I77" s="31"/>
      <c r="J77" s="31"/>
      <c r="K77" s="31"/>
      <c r="L77" s="31"/>
      <c r="M77" s="31"/>
      <c r="N77" s="31"/>
      <c r="O77" s="31"/>
      <c r="P77" s="31"/>
      <c r="Q77" s="31"/>
      <c r="R77" s="31"/>
      <c r="S77" s="31"/>
      <c r="T77" s="31"/>
      <c r="U77" s="31"/>
      <c r="V77" s="31"/>
      <c r="W77" s="31"/>
      <c r="X77" s="31"/>
      <c r="Y77" s="31"/>
      <c r="Z77" s="31"/>
    </row>
    <row r="78" ht="15.75" customHeight="1">
      <c r="A78" s="31"/>
      <c r="B78" s="31"/>
      <c r="C78" s="31"/>
      <c r="D78" s="31"/>
      <c r="E78" s="31"/>
      <c r="F78" s="31"/>
      <c r="G78" s="31"/>
      <c r="H78" s="31"/>
      <c r="I78" s="31"/>
      <c r="J78" s="31"/>
      <c r="K78" s="31"/>
      <c r="L78" s="31"/>
      <c r="M78" s="31"/>
      <c r="N78" s="31"/>
      <c r="O78" s="31"/>
      <c r="P78" s="31"/>
      <c r="Q78" s="31"/>
      <c r="R78" s="31"/>
      <c r="S78" s="31"/>
      <c r="T78" s="31"/>
      <c r="U78" s="31"/>
      <c r="V78" s="31"/>
      <c r="W78" s="31"/>
      <c r="X78" s="31"/>
      <c r="Y78" s="31"/>
      <c r="Z78" s="31"/>
    </row>
    <row r="79" ht="15.75" customHeight="1">
      <c r="A79" s="31"/>
      <c r="B79" s="31"/>
      <c r="C79" s="31"/>
      <c r="D79" s="31"/>
      <c r="E79" s="31"/>
      <c r="F79" s="31"/>
      <c r="G79" s="31"/>
      <c r="H79" s="31"/>
      <c r="I79" s="31"/>
      <c r="J79" s="31"/>
      <c r="K79" s="31"/>
      <c r="L79" s="31"/>
      <c r="M79" s="31"/>
      <c r="N79" s="31"/>
      <c r="O79" s="31"/>
      <c r="P79" s="31"/>
      <c r="Q79" s="31"/>
      <c r="R79" s="31"/>
      <c r="S79" s="31"/>
      <c r="T79" s="31"/>
      <c r="U79" s="31"/>
      <c r="V79" s="31"/>
      <c r="W79" s="31"/>
      <c r="X79" s="31"/>
      <c r="Y79" s="31"/>
      <c r="Z79" s="31"/>
    </row>
    <row r="80" ht="15.75" customHeight="1">
      <c r="A80" s="31"/>
      <c r="B80" s="31"/>
      <c r="C80" s="31"/>
      <c r="D80" s="31"/>
      <c r="E80" s="31"/>
      <c r="F80" s="31"/>
      <c r="G80" s="31"/>
      <c r="H80" s="31"/>
      <c r="I80" s="31"/>
      <c r="J80" s="31"/>
      <c r="K80" s="31"/>
      <c r="L80" s="31"/>
      <c r="M80" s="31"/>
      <c r="N80" s="31"/>
      <c r="O80" s="31"/>
      <c r="P80" s="31"/>
      <c r="Q80" s="31"/>
      <c r="R80" s="31"/>
      <c r="S80" s="31"/>
      <c r="T80" s="31"/>
      <c r="U80" s="31"/>
      <c r="V80" s="31"/>
      <c r="W80" s="31"/>
      <c r="X80" s="31"/>
      <c r="Y80" s="31"/>
      <c r="Z80" s="31"/>
    </row>
    <row r="81" ht="15.75" customHeight="1">
      <c r="A81" s="31"/>
      <c r="B81" s="31"/>
      <c r="C81" s="31"/>
      <c r="D81" s="31"/>
      <c r="E81" s="31"/>
      <c r="F81" s="31"/>
      <c r="G81" s="31"/>
      <c r="H81" s="31"/>
      <c r="I81" s="31"/>
      <c r="J81" s="31"/>
      <c r="K81" s="31"/>
      <c r="L81" s="31"/>
      <c r="M81" s="31"/>
      <c r="N81" s="31"/>
      <c r="O81" s="31"/>
      <c r="P81" s="31"/>
      <c r="Q81" s="31"/>
      <c r="R81" s="31"/>
      <c r="S81" s="31"/>
      <c r="T81" s="31"/>
      <c r="U81" s="31"/>
      <c r="V81" s="31"/>
      <c r="W81" s="31"/>
      <c r="X81" s="31"/>
      <c r="Y81" s="31"/>
      <c r="Z81" s="31"/>
    </row>
    <row r="82" ht="15.75" customHeight="1">
      <c r="A82" s="31"/>
      <c r="B82" s="31"/>
      <c r="C82" s="31"/>
      <c r="D82" s="31"/>
      <c r="E82" s="31"/>
      <c r="F82" s="31"/>
      <c r="G82" s="31"/>
      <c r="H82" s="31"/>
      <c r="I82" s="31"/>
      <c r="J82" s="31"/>
      <c r="K82" s="31"/>
      <c r="L82" s="31"/>
      <c r="M82" s="31"/>
      <c r="N82" s="31"/>
      <c r="O82" s="31"/>
      <c r="P82" s="31"/>
      <c r="Q82" s="31"/>
      <c r="R82" s="31"/>
      <c r="S82" s="31"/>
      <c r="T82" s="31"/>
      <c r="U82" s="31"/>
      <c r="V82" s="31"/>
      <c r="W82" s="31"/>
      <c r="X82" s="31"/>
      <c r="Y82" s="31"/>
      <c r="Z82" s="31"/>
    </row>
    <row r="83" ht="15.75" customHeight="1">
      <c r="A83" s="31"/>
      <c r="B83" s="31"/>
      <c r="C83" s="31"/>
      <c r="D83" s="31"/>
      <c r="E83" s="31"/>
      <c r="F83" s="31"/>
      <c r="G83" s="31"/>
      <c r="H83" s="31"/>
      <c r="I83" s="31"/>
      <c r="J83" s="31"/>
      <c r="K83" s="31"/>
      <c r="L83" s="31"/>
      <c r="M83" s="31"/>
      <c r="N83" s="31"/>
      <c r="O83" s="31"/>
      <c r="P83" s="31"/>
      <c r="Q83" s="31"/>
      <c r="R83" s="31"/>
      <c r="S83" s="31"/>
      <c r="T83" s="31"/>
      <c r="U83" s="31"/>
      <c r="V83" s="31"/>
      <c r="W83" s="31"/>
      <c r="X83" s="31"/>
      <c r="Y83" s="31"/>
      <c r="Z83" s="31"/>
    </row>
    <row r="84" ht="15.75" customHeight="1">
      <c r="A84" s="31"/>
      <c r="B84" s="31"/>
      <c r="C84" s="31"/>
      <c r="D84" s="31"/>
      <c r="E84" s="31"/>
      <c r="F84" s="31"/>
      <c r="G84" s="31"/>
      <c r="H84" s="31"/>
      <c r="I84" s="31"/>
      <c r="J84" s="31"/>
      <c r="K84" s="31"/>
      <c r="L84" s="31"/>
      <c r="M84" s="31"/>
      <c r="N84" s="31"/>
      <c r="O84" s="31"/>
      <c r="P84" s="31"/>
      <c r="Q84" s="31"/>
      <c r="R84" s="31"/>
      <c r="S84" s="31"/>
      <c r="T84" s="31"/>
      <c r="U84" s="31"/>
      <c r="V84" s="31"/>
      <c r="W84" s="31"/>
      <c r="X84" s="31"/>
      <c r="Y84" s="31"/>
      <c r="Z84" s="31"/>
    </row>
    <row r="85" ht="15.75" customHeight="1">
      <c r="A85" s="31"/>
      <c r="B85" s="31"/>
      <c r="C85" s="31"/>
      <c r="D85" s="31"/>
      <c r="E85" s="31"/>
      <c r="F85" s="31"/>
      <c r="G85" s="31"/>
      <c r="H85" s="31"/>
      <c r="I85" s="31"/>
      <c r="J85" s="31"/>
      <c r="K85" s="31"/>
      <c r="L85" s="31"/>
      <c r="M85" s="31"/>
      <c r="N85" s="31"/>
      <c r="O85" s="31"/>
      <c r="P85" s="31"/>
      <c r="Q85" s="31"/>
      <c r="R85" s="31"/>
      <c r="S85" s="31"/>
      <c r="T85" s="31"/>
      <c r="U85" s="31"/>
      <c r="V85" s="31"/>
      <c r="W85" s="31"/>
      <c r="X85" s="31"/>
      <c r="Y85" s="31"/>
      <c r="Z85" s="31"/>
    </row>
    <row r="86" ht="15.75" customHeight="1">
      <c r="A86" s="31"/>
      <c r="B86" s="31"/>
      <c r="C86" s="31"/>
      <c r="D86" s="31"/>
      <c r="E86" s="31"/>
      <c r="F86" s="31"/>
      <c r="G86" s="31"/>
      <c r="H86" s="31"/>
      <c r="I86" s="31"/>
      <c r="J86" s="31"/>
      <c r="K86" s="31"/>
      <c r="L86" s="31"/>
      <c r="M86" s="31"/>
      <c r="N86" s="31"/>
      <c r="O86" s="31"/>
      <c r="P86" s="31"/>
      <c r="Q86" s="31"/>
      <c r="R86" s="31"/>
      <c r="S86" s="31"/>
      <c r="T86" s="31"/>
      <c r="U86" s="31"/>
      <c r="V86" s="31"/>
      <c r="W86" s="31"/>
      <c r="X86" s="31"/>
      <c r="Y86" s="31"/>
      <c r="Z86" s="31"/>
    </row>
    <row r="87" ht="15.75" customHeight="1">
      <c r="A87" s="31"/>
      <c r="B87" s="31"/>
      <c r="C87" s="31"/>
      <c r="D87" s="31"/>
      <c r="E87" s="31"/>
      <c r="F87" s="31"/>
      <c r="G87" s="31"/>
      <c r="H87" s="31"/>
      <c r="I87" s="31"/>
      <c r="J87" s="31"/>
      <c r="K87" s="31"/>
      <c r="L87" s="31"/>
      <c r="M87" s="31"/>
      <c r="N87" s="31"/>
      <c r="O87" s="31"/>
      <c r="P87" s="31"/>
      <c r="Q87" s="31"/>
      <c r="R87" s="31"/>
      <c r="S87" s="31"/>
      <c r="T87" s="31"/>
      <c r="U87" s="31"/>
      <c r="V87" s="31"/>
      <c r="W87" s="31"/>
      <c r="X87" s="31"/>
      <c r="Y87" s="31"/>
      <c r="Z87" s="31"/>
    </row>
    <row r="88" ht="15.75" customHeight="1">
      <c r="A88" s="31"/>
      <c r="B88" s="31"/>
      <c r="C88" s="31"/>
      <c r="D88" s="31"/>
      <c r="E88" s="31"/>
      <c r="F88" s="31"/>
      <c r="G88" s="31"/>
      <c r="H88" s="31"/>
      <c r="I88" s="31"/>
      <c r="J88" s="31"/>
      <c r="K88" s="31"/>
      <c r="L88" s="31"/>
      <c r="M88" s="31"/>
      <c r="N88" s="31"/>
      <c r="O88" s="31"/>
      <c r="P88" s="31"/>
      <c r="Q88" s="31"/>
      <c r="R88" s="31"/>
      <c r="S88" s="31"/>
      <c r="T88" s="31"/>
      <c r="U88" s="31"/>
      <c r="V88" s="31"/>
      <c r="W88" s="31"/>
      <c r="X88" s="31"/>
      <c r="Y88" s="31"/>
      <c r="Z88" s="31"/>
    </row>
    <row r="89" ht="15.75" customHeight="1">
      <c r="A89" s="31"/>
      <c r="B89" s="31"/>
      <c r="C89" s="31"/>
      <c r="D89" s="31"/>
      <c r="E89" s="31"/>
      <c r="F89" s="31"/>
      <c r="G89" s="31"/>
      <c r="H89" s="31"/>
      <c r="I89" s="31"/>
      <c r="J89" s="31"/>
      <c r="K89" s="31"/>
      <c r="L89" s="31"/>
      <c r="M89" s="31"/>
      <c r="N89" s="31"/>
      <c r="O89" s="31"/>
      <c r="P89" s="31"/>
      <c r="Q89" s="31"/>
      <c r="R89" s="31"/>
      <c r="S89" s="31"/>
      <c r="T89" s="31"/>
      <c r="U89" s="31"/>
      <c r="V89" s="31"/>
      <c r="W89" s="31"/>
      <c r="X89" s="31"/>
      <c r="Y89" s="31"/>
      <c r="Z89" s="31"/>
    </row>
    <row r="90" ht="15.75" customHeight="1">
      <c r="A90" s="31"/>
      <c r="B90" s="31"/>
      <c r="C90" s="31"/>
      <c r="D90" s="31"/>
      <c r="E90" s="31"/>
      <c r="F90" s="31"/>
      <c r="G90" s="31"/>
      <c r="H90" s="31"/>
      <c r="I90" s="31"/>
      <c r="J90" s="31"/>
      <c r="K90" s="31"/>
      <c r="L90" s="31"/>
      <c r="M90" s="31"/>
      <c r="N90" s="31"/>
      <c r="O90" s="31"/>
      <c r="P90" s="31"/>
      <c r="Q90" s="31"/>
      <c r="R90" s="31"/>
      <c r="S90" s="31"/>
      <c r="T90" s="31"/>
      <c r="U90" s="31"/>
      <c r="V90" s="31"/>
      <c r="W90" s="31"/>
      <c r="X90" s="31"/>
      <c r="Y90" s="31"/>
      <c r="Z90" s="31"/>
    </row>
    <row r="91" ht="15.75" customHeight="1">
      <c r="A91" s="31"/>
      <c r="B91" s="31"/>
      <c r="C91" s="31"/>
      <c r="D91" s="31"/>
      <c r="E91" s="31"/>
      <c r="F91" s="31"/>
      <c r="G91" s="31"/>
      <c r="H91" s="31"/>
      <c r="I91" s="31"/>
      <c r="J91" s="31"/>
      <c r="K91" s="31"/>
      <c r="L91" s="31"/>
      <c r="M91" s="31"/>
      <c r="N91" s="31"/>
      <c r="O91" s="31"/>
      <c r="P91" s="31"/>
      <c r="Q91" s="31"/>
      <c r="R91" s="31"/>
      <c r="S91" s="31"/>
      <c r="T91" s="31"/>
      <c r="U91" s="31"/>
      <c r="V91" s="31"/>
      <c r="W91" s="31"/>
      <c r="X91" s="31"/>
      <c r="Y91" s="31"/>
      <c r="Z91" s="31"/>
    </row>
    <row r="92" ht="15.75" customHeight="1">
      <c r="A92" s="31"/>
      <c r="B92" s="31"/>
      <c r="C92" s="31"/>
      <c r="D92" s="31"/>
      <c r="E92" s="31"/>
      <c r="F92" s="31"/>
      <c r="G92" s="31"/>
      <c r="H92" s="31"/>
      <c r="I92" s="31"/>
      <c r="J92" s="31"/>
      <c r="K92" s="31"/>
      <c r="L92" s="31"/>
      <c r="M92" s="31"/>
      <c r="N92" s="31"/>
      <c r="O92" s="31"/>
      <c r="P92" s="31"/>
      <c r="Q92" s="31"/>
      <c r="R92" s="31"/>
      <c r="S92" s="31"/>
      <c r="T92" s="31"/>
      <c r="U92" s="31"/>
      <c r="V92" s="31"/>
      <c r="W92" s="31"/>
      <c r="X92" s="31"/>
      <c r="Y92" s="31"/>
      <c r="Z92" s="31"/>
    </row>
    <row r="93" ht="15.75" customHeight="1">
      <c r="A93" s="31"/>
      <c r="B93" s="31"/>
      <c r="C93" s="31"/>
      <c r="D93" s="31"/>
      <c r="E93" s="31"/>
      <c r="F93" s="31"/>
      <c r="G93" s="31"/>
      <c r="H93" s="31"/>
      <c r="I93" s="31"/>
      <c r="J93" s="31"/>
      <c r="K93" s="31"/>
      <c r="L93" s="31"/>
      <c r="M93" s="31"/>
      <c r="N93" s="31"/>
      <c r="O93" s="31"/>
      <c r="P93" s="31"/>
      <c r="Q93" s="31"/>
      <c r="R93" s="31"/>
      <c r="S93" s="31"/>
      <c r="T93" s="31"/>
      <c r="U93" s="31"/>
      <c r="V93" s="31"/>
      <c r="W93" s="31"/>
      <c r="X93" s="31"/>
      <c r="Y93" s="31"/>
      <c r="Z93" s="31"/>
    </row>
    <row r="94" ht="15.75" customHeight="1">
      <c r="A94" s="31"/>
      <c r="B94" s="31"/>
      <c r="C94" s="31"/>
      <c r="D94" s="31"/>
      <c r="E94" s="31"/>
      <c r="F94" s="31"/>
      <c r="G94" s="31"/>
      <c r="H94" s="31"/>
      <c r="I94" s="31"/>
      <c r="J94" s="31"/>
      <c r="K94" s="31"/>
      <c r="L94" s="31"/>
      <c r="M94" s="31"/>
      <c r="N94" s="31"/>
      <c r="O94" s="31"/>
      <c r="P94" s="31"/>
      <c r="Q94" s="31"/>
      <c r="R94" s="31"/>
      <c r="S94" s="31"/>
      <c r="T94" s="31"/>
      <c r="U94" s="31"/>
      <c r="V94" s="31"/>
      <c r="W94" s="31"/>
      <c r="X94" s="31"/>
      <c r="Y94" s="31"/>
      <c r="Z94" s="31"/>
    </row>
    <row r="95" ht="15.75" customHeight="1">
      <c r="A95" s="31"/>
      <c r="B95" s="31"/>
      <c r="C95" s="31"/>
      <c r="D95" s="31"/>
      <c r="E95" s="31"/>
      <c r="F95" s="31"/>
      <c r="G95" s="31"/>
      <c r="H95" s="31"/>
      <c r="I95" s="31"/>
      <c r="J95" s="31"/>
      <c r="K95" s="31"/>
      <c r="L95" s="31"/>
      <c r="M95" s="31"/>
      <c r="N95" s="31"/>
      <c r="O95" s="31"/>
      <c r="P95" s="31"/>
      <c r="Q95" s="31"/>
      <c r="R95" s="31"/>
      <c r="S95" s="31"/>
      <c r="T95" s="31"/>
      <c r="U95" s="31"/>
      <c r="V95" s="31"/>
      <c r="W95" s="31"/>
      <c r="X95" s="31"/>
      <c r="Y95" s="31"/>
      <c r="Z95" s="31"/>
    </row>
    <row r="96" ht="15.75" customHeight="1">
      <c r="A96" s="31"/>
      <c r="B96" s="31"/>
      <c r="C96" s="31"/>
      <c r="D96" s="31"/>
      <c r="E96" s="31"/>
      <c r="F96" s="31"/>
      <c r="G96" s="31"/>
      <c r="H96" s="31"/>
      <c r="I96" s="31"/>
      <c r="J96" s="31"/>
      <c r="K96" s="31"/>
      <c r="L96" s="31"/>
      <c r="M96" s="31"/>
      <c r="N96" s="31"/>
      <c r="O96" s="31"/>
      <c r="P96" s="31"/>
      <c r="Q96" s="31"/>
      <c r="R96" s="31"/>
      <c r="S96" s="31"/>
      <c r="T96" s="31"/>
      <c r="U96" s="31"/>
      <c r="V96" s="31"/>
      <c r="W96" s="31"/>
      <c r="X96" s="31"/>
      <c r="Y96" s="31"/>
      <c r="Z96" s="31"/>
    </row>
    <row r="97" ht="15.75" customHeight="1">
      <c r="A97" s="31"/>
      <c r="B97" s="31"/>
      <c r="C97" s="31"/>
      <c r="D97" s="31"/>
      <c r="E97" s="31"/>
      <c r="F97" s="31"/>
      <c r="G97" s="31"/>
      <c r="H97" s="31"/>
      <c r="I97" s="31"/>
      <c r="J97" s="31"/>
      <c r="K97" s="31"/>
      <c r="L97" s="31"/>
      <c r="M97" s="31"/>
      <c r="N97" s="31"/>
      <c r="O97" s="31"/>
      <c r="P97" s="31"/>
      <c r="Q97" s="31"/>
      <c r="R97" s="31"/>
      <c r="S97" s="31"/>
      <c r="T97" s="31"/>
      <c r="U97" s="31"/>
      <c r="V97" s="31"/>
      <c r="W97" s="31"/>
      <c r="X97" s="31"/>
      <c r="Y97" s="31"/>
      <c r="Z97" s="31"/>
    </row>
    <row r="98" ht="15.75" customHeight="1">
      <c r="A98" s="31"/>
      <c r="B98" s="31"/>
      <c r="C98" s="31"/>
      <c r="D98" s="31"/>
      <c r="E98" s="31"/>
      <c r="F98" s="31"/>
      <c r="G98" s="31"/>
      <c r="H98" s="31"/>
      <c r="I98" s="31"/>
      <c r="J98" s="31"/>
      <c r="K98" s="31"/>
      <c r="L98" s="31"/>
      <c r="M98" s="31"/>
      <c r="N98" s="31"/>
      <c r="O98" s="31"/>
      <c r="P98" s="31"/>
      <c r="Q98" s="31"/>
      <c r="R98" s="31"/>
      <c r="S98" s="31"/>
      <c r="T98" s="31"/>
      <c r="U98" s="31"/>
      <c r="V98" s="31"/>
      <c r="W98" s="31"/>
      <c r="X98" s="31"/>
      <c r="Y98" s="31"/>
      <c r="Z98" s="31"/>
    </row>
    <row r="99" ht="15.75" customHeight="1">
      <c r="A99" s="31"/>
      <c r="B99" s="31"/>
      <c r="C99" s="31"/>
      <c r="D99" s="31"/>
      <c r="E99" s="31"/>
      <c r="F99" s="31"/>
      <c r="G99" s="31"/>
      <c r="H99" s="31"/>
      <c r="I99" s="31"/>
      <c r="J99" s="31"/>
      <c r="K99" s="31"/>
      <c r="L99" s="31"/>
      <c r="M99" s="31"/>
      <c r="N99" s="31"/>
      <c r="O99" s="31"/>
      <c r="P99" s="31"/>
      <c r="Q99" s="31"/>
      <c r="R99" s="31"/>
      <c r="S99" s="31"/>
      <c r="T99" s="31"/>
      <c r="U99" s="31"/>
      <c r="V99" s="31"/>
      <c r="W99" s="31"/>
      <c r="X99" s="31"/>
      <c r="Y99" s="31"/>
      <c r="Z99" s="31"/>
    </row>
    <row r="100" ht="15.75" customHeight="1">
      <c r="A100" s="31"/>
      <c r="B100" s="31"/>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row>
    <row r="101" ht="15.75" customHeight="1">
      <c r="A101" s="31"/>
      <c r="B101" s="31"/>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row>
    <row r="102" ht="15.75" customHeight="1">
      <c r="A102" s="31"/>
      <c r="B102" s="31"/>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row>
    <row r="103" ht="15.75" customHeight="1">
      <c r="A103" s="31"/>
      <c r="B103" s="31"/>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row>
    <row r="104" ht="15.75" customHeight="1">
      <c r="A104" s="31"/>
      <c r="B104" s="31"/>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row>
    <row r="105" ht="15.75" customHeight="1">
      <c r="A105" s="31"/>
      <c r="B105" s="31"/>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row>
    <row r="106" ht="15.75" customHeight="1">
      <c r="A106" s="31"/>
      <c r="B106" s="31"/>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row>
    <row r="107" ht="15.75" customHeight="1">
      <c r="A107" s="31"/>
      <c r="B107" s="31"/>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row>
    <row r="108" ht="15.75" customHeight="1">
      <c r="A108" s="31"/>
      <c r="B108" s="31"/>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row>
    <row r="109" ht="15.75" customHeight="1">
      <c r="A109" s="31"/>
      <c r="B109" s="31"/>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row>
    <row r="110" ht="15.75" customHeight="1">
      <c r="A110" s="31"/>
      <c r="B110" s="31"/>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row>
    <row r="111" ht="15.75" customHeight="1">
      <c r="A111" s="3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row>
    <row r="112" ht="15.75" customHeight="1">
      <c r="A112" s="31"/>
      <c r="B112" s="31"/>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row>
    <row r="113" ht="15.75" customHeight="1">
      <c r="A113" s="31"/>
      <c r="B113" s="31"/>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row>
    <row r="114" ht="15.75" customHeight="1">
      <c r="A114" s="31"/>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row>
    <row r="115" ht="15.75" customHeight="1">
      <c r="A115" s="31"/>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row>
    <row r="116" ht="15.75" customHeight="1">
      <c r="A116" s="31"/>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row>
    <row r="117" ht="15.75" customHeight="1">
      <c r="A117" s="31"/>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row>
    <row r="118" ht="15.75" customHeight="1">
      <c r="A118" s="31"/>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row>
    <row r="119" ht="15.75" customHeight="1">
      <c r="A119" s="31"/>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row>
    <row r="120" ht="15.75" customHeight="1">
      <c r="A120" s="31"/>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row>
    <row r="121" ht="15.75" customHeight="1">
      <c r="A121" s="31"/>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row>
    <row r="122" ht="15.75" customHeight="1">
      <c r="A122" s="31"/>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row>
    <row r="123" ht="15.75" customHeight="1">
      <c r="A123" s="31"/>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row>
    <row r="124" ht="15.75" customHeight="1">
      <c r="A124" s="31"/>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row>
    <row r="125" ht="15.75" customHeight="1">
      <c r="A125" s="31"/>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row>
    <row r="126" ht="15.75" customHeight="1">
      <c r="A126" s="31"/>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row>
    <row r="127" ht="15.75" customHeight="1">
      <c r="A127" s="31"/>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row>
    <row r="128" ht="15.75" customHeight="1">
      <c r="A128" s="31"/>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row>
    <row r="129" ht="15.75" customHeight="1">
      <c r="A129" s="31"/>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row>
    <row r="130" ht="15.75" customHeight="1">
      <c r="A130" s="31"/>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row>
    <row r="131" ht="15.75" customHeight="1">
      <c r="A131" s="31"/>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row>
    <row r="132" ht="15.75" customHeight="1">
      <c r="A132" s="31"/>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row>
    <row r="133" ht="15.75" customHeight="1">
      <c r="A133" s="31"/>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row>
    <row r="134" ht="15.75" customHeight="1">
      <c r="A134" s="31"/>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row>
    <row r="135" ht="15.75" customHeight="1">
      <c r="A135" s="31"/>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row>
    <row r="136" ht="15.75" customHeight="1">
      <c r="A136" s="31"/>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row>
    <row r="137" ht="15.75" customHeight="1">
      <c r="A137" s="31"/>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row>
    <row r="138" ht="15.75" customHeight="1">
      <c r="A138" s="31"/>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row>
    <row r="139" ht="15.75" customHeight="1">
      <c r="A139" s="31"/>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row>
    <row r="140" ht="15.75" customHeight="1">
      <c r="A140" s="31"/>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row>
    <row r="141" ht="15.75" customHeight="1">
      <c r="A141" s="31"/>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row>
    <row r="142" ht="15.75" customHeight="1">
      <c r="A142" s="31"/>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row>
    <row r="143" ht="15.75" customHeight="1">
      <c r="A143" s="31"/>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row>
    <row r="144" ht="15.75" customHeight="1">
      <c r="A144" s="31"/>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row>
    <row r="145" ht="15.75" customHeight="1">
      <c r="A145" s="31"/>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row>
    <row r="146" ht="15.75" customHeight="1">
      <c r="A146" s="31"/>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row>
    <row r="147" ht="15.75" customHeight="1">
      <c r="A147" s="31"/>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row>
    <row r="148" ht="15.75" customHeight="1">
      <c r="A148" s="31"/>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row>
    <row r="149" ht="15.75" customHeight="1">
      <c r="A149" s="31"/>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row>
    <row r="150" ht="15.75" customHeight="1">
      <c r="A150" s="31"/>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row>
    <row r="151" ht="15.75" customHeight="1">
      <c r="A151" s="31"/>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row>
    <row r="152" ht="15.75" customHeight="1">
      <c r="A152" s="31"/>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row>
    <row r="153" ht="15.75" customHeight="1">
      <c r="A153" s="31"/>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row>
    <row r="154" ht="15.75" customHeight="1">
      <c r="A154" s="31"/>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row>
    <row r="155" ht="15.75" customHeight="1">
      <c r="A155" s="31"/>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row>
    <row r="156" ht="15.75" customHeight="1">
      <c r="A156" s="31"/>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row>
    <row r="157" ht="15.75" customHeight="1">
      <c r="A157" s="31"/>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row>
    <row r="158" ht="15.75" customHeight="1">
      <c r="A158" s="31"/>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row>
    <row r="159" ht="15.75" customHeight="1">
      <c r="A159" s="31"/>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row>
    <row r="160" ht="15.75" customHeight="1">
      <c r="A160" s="31"/>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row>
    <row r="161" ht="15.75" customHeight="1">
      <c r="A161" s="31"/>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row>
    <row r="162" ht="15.75" customHeight="1">
      <c r="A162" s="31"/>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row>
    <row r="163" ht="15.75" customHeight="1">
      <c r="A163" s="31"/>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row>
    <row r="164" ht="15.75" customHeight="1">
      <c r="A164" s="31"/>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row>
    <row r="165" ht="15.75" customHeight="1">
      <c r="A165" s="31"/>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row>
    <row r="166" ht="15.75" customHeight="1">
      <c r="A166" s="31"/>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row>
    <row r="167" ht="15.75" customHeight="1">
      <c r="A167" s="31"/>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row>
    <row r="168" ht="15.75" customHeight="1">
      <c r="A168" s="31"/>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row>
    <row r="169" ht="15.75" customHeight="1">
      <c r="A169" s="31"/>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row>
    <row r="170" ht="15.75" customHeight="1">
      <c r="A170" s="31"/>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row>
    <row r="171" ht="15.75" customHeight="1">
      <c r="A171" s="31"/>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row>
    <row r="172" ht="15.75" customHeight="1">
      <c r="A172" s="31"/>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row>
    <row r="173" ht="15.75" customHeight="1">
      <c r="A173" s="31"/>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row>
    <row r="174" ht="15.75" customHeight="1">
      <c r="A174" s="31"/>
      <c r="B174" s="31"/>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row>
    <row r="175" ht="15.75" customHeight="1">
      <c r="A175" s="31"/>
      <c r="B175" s="31"/>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row>
    <row r="176" ht="15.75" customHeight="1">
      <c r="A176" s="31"/>
      <c r="B176" s="31"/>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row>
    <row r="177" ht="15.75" customHeight="1">
      <c r="A177" s="31"/>
      <c r="B177" s="31"/>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row>
    <row r="178" ht="15.75" customHeight="1">
      <c r="A178" s="31"/>
      <c r="B178" s="31"/>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row>
    <row r="179" ht="15.75" customHeight="1">
      <c r="A179" s="31"/>
      <c r="B179" s="31"/>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row>
    <row r="180" ht="15.75" customHeight="1">
      <c r="A180" s="31"/>
      <c r="B180" s="31"/>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row>
    <row r="181" ht="15.75" customHeight="1">
      <c r="A181" s="31"/>
      <c r="B181" s="31"/>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row>
    <row r="182" ht="15.75" customHeight="1">
      <c r="A182" s="31"/>
      <c r="B182" s="31"/>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row>
    <row r="183" ht="15.75" customHeight="1">
      <c r="A183" s="31"/>
      <c r="B183" s="31"/>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row>
    <row r="184" ht="15.75" customHeight="1">
      <c r="A184" s="31"/>
      <c r="B184" s="31"/>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row>
    <row r="185" ht="15.75" customHeight="1">
      <c r="A185" s="31"/>
      <c r="B185" s="31"/>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row>
    <row r="186" ht="15.75" customHeight="1">
      <c r="A186" s="31"/>
      <c r="B186" s="31"/>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row>
    <row r="187" ht="15.75" customHeight="1">
      <c r="A187" s="31"/>
      <c r="B187" s="31"/>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row>
    <row r="188" ht="15.75" customHeight="1">
      <c r="A188" s="31"/>
      <c r="B188" s="31"/>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row>
    <row r="189" ht="15.75" customHeight="1">
      <c r="A189" s="31"/>
      <c r="B189" s="31"/>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row>
    <row r="190" ht="15.75" customHeight="1">
      <c r="A190" s="31"/>
      <c r="B190" s="31"/>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row>
    <row r="191" ht="15.75" customHeight="1">
      <c r="A191" s="31"/>
      <c r="B191" s="31"/>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row>
    <row r="192" ht="15.75" customHeight="1">
      <c r="A192" s="31"/>
      <c r="B192" s="31"/>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row>
    <row r="193" ht="15.75" customHeight="1">
      <c r="A193" s="31"/>
      <c r="B193" s="31"/>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row>
    <row r="194" ht="15.75" customHeight="1">
      <c r="A194" s="31"/>
      <c r="B194" s="31"/>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row>
    <row r="195" ht="15.75" customHeight="1">
      <c r="A195" s="31"/>
      <c r="B195" s="31"/>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row>
    <row r="196" ht="15.75" customHeight="1">
      <c r="A196" s="31"/>
      <c r="B196" s="31"/>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row>
    <row r="197" ht="15.75" customHeight="1">
      <c r="A197" s="31"/>
      <c r="B197" s="31"/>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row>
    <row r="198" ht="15.75" customHeight="1">
      <c r="A198" s="31"/>
      <c r="B198" s="31"/>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row>
    <row r="199" ht="15.75" customHeight="1">
      <c r="A199" s="31"/>
      <c r="B199" s="31"/>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row>
    <row r="200" ht="15.75" customHeight="1">
      <c r="A200" s="31"/>
      <c r="B200" s="31"/>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row>
    <row r="201" ht="15.75" customHeight="1">
      <c r="A201" s="31"/>
      <c r="B201" s="31"/>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row>
    <row r="202" ht="15.75" customHeight="1">
      <c r="A202" s="31"/>
      <c r="B202" s="31"/>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row>
    <row r="203" ht="15.75" customHeight="1">
      <c r="A203" s="31"/>
      <c r="B203" s="31"/>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row>
    <row r="204" ht="15.75" customHeight="1">
      <c r="A204" s="31"/>
      <c r="B204" s="31"/>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row>
    <row r="205" ht="15.75" customHeight="1">
      <c r="A205" s="31"/>
      <c r="B205" s="31"/>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row>
    <row r="206" ht="15.75" customHeight="1">
      <c r="A206" s="31"/>
      <c r="B206" s="31"/>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row>
    <row r="207" ht="15.75" customHeight="1">
      <c r="A207" s="31"/>
      <c r="B207" s="31"/>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row>
    <row r="208" ht="15.75" customHeight="1">
      <c r="A208" s="31"/>
      <c r="B208" s="31"/>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row>
    <row r="209" ht="15.75" customHeight="1">
      <c r="A209" s="31"/>
      <c r="B209" s="31"/>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row>
    <row r="210" ht="15.75" customHeight="1">
      <c r="A210" s="31"/>
      <c r="B210" s="31"/>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row>
    <row r="211" ht="15.75" customHeight="1">
      <c r="A211" s="31"/>
      <c r="B211" s="31"/>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row>
    <row r="212" ht="15.75" customHeight="1">
      <c r="A212" s="31"/>
      <c r="B212" s="31"/>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row>
    <row r="213" ht="15.75" customHeight="1">
      <c r="A213" s="31"/>
      <c r="B213" s="31"/>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row>
    <row r="214" ht="15.75" customHeight="1">
      <c r="A214" s="31"/>
      <c r="B214" s="31"/>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row>
    <row r="215" ht="15.75" customHeight="1">
      <c r="A215" s="31"/>
      <c r="B215" s="31"/>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row>
    <row r="216" ht="15.75" customHeight="1">
      <c r="A216" s="31"/>
      <c r="B216" s="31"/>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row>
    <row r="217" ht="15.75" customHeight="1">
      <c r="A217" s="31"/>
      <c r="B217" s="31"/>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row>
    <row r="218" ht="15.75" customHeight="1">
      <c r="A218" s="31"/>
      <c r="B218" s="31"/>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row>
    <row r="219" ht="15.75" customHeight="1">
      <c r="A219" s="31"/>
      <c r="B219" s="31"/>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row>
    <row r="220" ht="15.75" customHeight="1">
      <c r="A220" s="31"/>
      <c r="B220" s="31"/>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E2:E13">
      <formula1>"Open,Closed"</formula1>
    </dataValidation>
  </dataValidation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6.75"/>
    <col customWidth="1" min="2" max="2" width="21.5"/>
    <col customWidth="1" min="3" max="3" width="22.13"/>
    <col customWidth="1" min="4" max="4" width="12.63"/>
    <col customWidth="1" min="5" max="5" width="16.63"/>
    <col customWidth="1" min="6" max="6" width="18.5"/>
    <col customWidth="1" min="7" max="7" width="13.13"/>
  </cols>
  <sheetData>
    <row r="1" ht="30.0" customHeight="1">
      <c r="A1" s="2" t="s">
        <v>40</v>
      </c>
      <c r="B1" s="2" t="s">
        <v>477</v>
      </c>
      <c r="C1" s="2" t="s">
        <v>478</v>
      </c>
      <c r="D1" s="2" t="s">
        <v>479</v>
      </c>
      <c r="E1" s="2" t="s">
        <v>480</v>
      </c>
      <c r="F1" s="2" t="s">
        <v>481</v>
      </c>
      <c r="G1" s="34" t="s">
        <v>482</v>
      </c>
    </row>
    <row r="2" ht="22.5" customHeight="1">
      <c r="A2" s="28" t="s">
        <v>76</v>
      </c>
      <c r="B2" s="29" t="s">
        <v>483</v>
      </c>
      <c r="C2" s="29" t="s">
        <v>483</v>
      </c>
      <c r="D2" s="28" t="s">
        <v>60</v>
      </c>
      <c r="E2" s="29" t="s">
        <v>484</v>
      </c>
      <c r="F2" s="29" t="s">
        <v>485</v>
      </c>
      <c r="G2" s="29" t="s">
        <v>486</v>
      </c>
    </row>
    <row r="3" ht="22.5" customHeight="1">
      <c r="A3" s="28" t="s">
        <v>81</v>
      </c>
      <c r="B3" s="29" t="s">
        <v>487</v>
      </c>
      <c r="C3" s="29" t="s">
        <v>488</v>
      </c>
      <c r="D3" s="28" t="s">
        <v>65</v>
      </c>
      <c r="E3" s="29" t="s">
        <v>489</v>
      </c>
      <c r="F3" s="29" t="s">
        <v>490</v>
      </c>
      <c r="G3" s="28" t="s">
        <v>491</v>
      </c>
    </row>
    <row r="4" ht="22.5" customHeight="1">
      <c r="A4" s="28" t="s">
        <v>90</v>
      </c>
      <c r="B4" s="29" t="s">
        <v>492</v>
      </c>
      <c r="C4" s="29" t="s">
        <v>492</v>
      </c>
      <c r="D4" s="28" t="s">
        <v>60</v>
      </c>
      <c r="E4" s="29" t="s">
        <v>484</v>
      </c>
      <c r="F4" s="29" t="s">
        <v>485</v>
      </c>
      <c r="G4" s="29" t="s">
        <v>486</v>
      </c>
    </row>
    <row r="5" ht="22.5" customHeight="1">
      <c r="A5" s="28" t="s">
        <v>103</v>
      </c>
      <c r="B5" s="29" t="s">
        <v>493</v>
      </c>
      <c r="C5" s="29" t="s">
        <v>492</v>
      </c>
      <c r="D5" s="28" t="s">
        <v>65</v>
      </c>
      <c r="E5" s="29" t="s">
        <v>494</v>
      </c>
      <c r="F5" s="29" t="s">
        <v>495</v>
      </c>
      <c r="G5" s="29" t="s">
        <v>491</v>
      </c>
    </row>
    <row r="6" ht="22.5" customHeight="1">
      <c r="A6" s="28" t="s">
        <v>168</v>
      </c>
      <c r="B6" s="29" t="s">
        <v>492</v>
      </c>
      <c r="C6" s="29" t="s">
        <v>492</v>
      </c>
      <c r="D6" s="28" t="s">
        <v>60</v>
      </c>
      <c r="E6" s="29" t="s">
        <v>484</v>
      </c>
      <c r="F6" s="29" t="s">
        <v>485</v>
      </c>
      <c r="G6" s="29" t="s">
        <v>486</v>
      </c>
    </row>
    <row r="7" ht="15.75" customHeight="1">
      <c r="B7" s="13"/>
      <c r="C7" s="13"/>
      <c r="E7" s="13"/>
      <c r="F7" s="13"/>
    </row>
    <row r="8" ht="15.75" customHeight="1">
      <c r="B8" s="13"/>
      <c r="C8" s="13"/>
      <c r="E8" s="13"/>
      <c r="F8" s="13"/>
    </row>
    <row r="9" ht="15.75" customHeight="1">
      <c r="B9" s="13"/>
      <c r="C9" s="13"/>
      <c r="E9" s="13"/>
      <c r="F9" s="13"/>
    </row>
    <row r="10" ht="15.75" customHeight="1">
      <c r="B10" s="13"/>
      <c r="C10" s="13"/>
      <c r="E10" s="13"/>
      <c r="F10" s="13"/>
    </row>
    <row r="11" ht="15.75" customHeight="1">
      <c r="B11" s="13"/>
      <c r="C11" s="13"/>
      <c r="E11" s="13"/>
      <c r="F11" s="13"/>
    </row>
    <row r="12" ht="15.75" customHeight="1">
      <c r="B12" s="13"/>
      <c r="C12" s="13"/>
      <c r="E12" s="13"/>
      <c r="F12" s="13"/>
    </row>
    <row r="13" ht="15.75" customHeight="1">
      <c r="B13" s="13"/>
      <c r="C13" s="13"/>
      <c r="E13" s="13"/>
      <c r="F13" s="13"/>
    </row>
    <row r="14" ht="15.75" customHeight="1">
      <c r="B14" s="13"/>
      <c r="C14" s="13"/>
      <c r="E14" s="13"/>
      <c r="F14" s="13"/>
    </row>
    <row r="15" ht="15.75" customHeight="1">
      <c r="B15" s="13"/>
      <c r="C15" s="13"/>
      <c r="E15" s="13"/>
      <c r="F15" s="13"/>
    </row>
    <row r="16" ht="15.75" customHeight="1">
      <c r="B16" s="13"/>
      <c r="C16" s="13"/>
      <c r="E16" s="13"/>
      <c r="F16" s="13"/>
    </row>
    <row r="17" ht="15.75" customHeight="1">
      <c r="B17" s="13"/>
      <c r="C17" s="13"/>
      <c r="E17" s="13"/>
      <c r="F17" s="13"/>
    </row>
    <row r="18" ht="15.75" customHeight="1">
      <c r="B18" s="13"/>
      <c r="C18" s="13"/>
      <c r="E18" s="13"/>
      <c r="F18" s="13"/>
    </row>
    <row r="19" ht="15.75" customHeight="1">
      <c r="B19" s="13"/>
      <c r="C19" s="13"/>
      <c r="E19" s="13"/>
      <c r="F19" s="13"/>
    </row>
    <row r="20" ht="15.75" customHeight="1">
      <c r="B20" s="13"/>
      <c r="C20" s="13"/>
      <c r="E20" s="13"/>
      <c r="F20" s="13"/>
    </row>
    <row r="21" ht="15.75" customHeight="1">
      <c r="B21" s="13"/>
      <c r="C21" s="13"/>
      <c r="E21" s="13"/>
      <c r="F21" s="13"/>
    </row>
    <row r="22" ht="15.75" customHeight="1">
      <c r="B22" s="13"/>
      <c r="C22" s="13"/>
      <c r="E22" s="13"/>
      <c r="F22" s="13"/>
    </row>
    <row r="23" ht="15.75" customHeight="1">
      <c r="B23" s="13"/>
      <c r="C23" s="13"/>
      <c r="E23" s="13"/>
      <c r="F23" s="13"/>
    </row>
    <row r="24" ht="15.75" customHeight="1">
      <c r="B24" s="13"/>
      <c r="C24" s="13"/>
      <c r="E24" s="13"/>
      <c r="F24" s="13"/>
    </row>
    <row r="25" ht="15.75" customHeight="1">
      <c r="B25" s="13"/>
      <c r="C25" s="13"/>
      <c r="E25" s="13"/>
      <c r="F25" s="13"/>
    </row>
    <row r="26" ht="15.75" customHeight="1">
      <c r="B26" s="13"/>
      <c r="C26" s="13"/>
      <c r="E26" s="13"/>
      <c r="F26" s="13"/>
    </row>
    <row r="27" ht="15.75" customHeight="1">
      <c r="B27" s="13"/>
      <c r="C27" s="13"/>
      <c r="E27" s="13"/>
      <c r="F27" s="13"/>
    </row>
    <row r="28" ht="15.75" customHeight="1">
      <c r="B28" s="13"/>
      <c r="C28" s="13"/>
      <c r="E28" s="13"/>
      <c r="F28" s="13"/>
    </row>
    <row r="29" ht="15.75" customHeight="1">
      <c r="B29" s="13"/>
      <c r="C29" s="13"/>
      <c r="E29" s="13"/>
      <c r="F29" s="13"/>
    </row>
    <row r="30" ht="15.75" customHeight="1">
      <c r="B30" s="13"/>
      <c r="C30" s="13"/>
      <c r="E30" s="13"/>
      <c r="F30" s="13"/>
    </row>
    <row r="31" ht="15.75" customHeight="1">
      <c r="B31" s="13"/>
      <c r="C31" s="13"/>
      <c r="E31" s="13"/>
      <c r="F31" s="13"/>
    </row>
    <row r="32" ht="15.75" customHeight="1">
      <c r="B32" s="13"/>
      <c r="C32" s="13"/>
      <c r="E32" s="13"/>
      <c r="F32" s="13"/>
    </row>
    <row r="33" ht="15.75" customHeight="1">
      <c r="B33" s="13"/>
      <c r="C33" s="13"/>
      <c r="E33" s="13"/>
      <c r="F33" s="13"/>
    </row>
    <row r="34" ht="15.75" customHeight="1">
      <c r="B34" s="13"/>
      <c r="C34" s="13"/>
      <c r="E34" s="13"/>
      <c r="F34" s="13"/>
    </row>
    <row r="35" ht="15.75" customHeight="1">
      <c r="B35" s="13"/>
      <c r="C35" s="13"/>
      <c r="E35" s="13"/>
      <c r="F35" s="13"/>
    </row>
    <row r="36" ht="15.75" customHeight="1">
      <c r="B36" s="13"/>
      <c r="C36" s="13"/>
      <c r="E36" s="13"/>
      <c r="F36" s="13"/>
    </row>
    <row r="37" ht="15.75" customHeight="1">
      <c r="B37" s="13"/>
      <c r="C37" s="13"/>
      <c r="E37" s="13"/>
      <c r="F37" s="13"/>
    </row>
    <row r="38" ht="15.75" customHeight="1">
      <c r="B38" s="13"/>
      <c r="C38" s="13"/>
      <c r="E38" s="13"/>
      <c r="F38" s="13"/>
    </row>
    <row r="39" ht="15.75" customHeight="1">
      <c r="B39" s="13"/>
      <c r="C39" s="13"/>
      <c r="E39" s="13"/>
      <c r="F39" s="13"/>
    </row>
    <row r="40" ht="15.75" customHeight="1">
      <c r="B40" s="13"/>
      <c r="C40" s="13"/>
      <c r="E40" s="13"/>
      <c r="F40" s="13"/>
    </row>
    <row r="41" ht="15.75" customHeight="1">
      <c r="B41" s="13"/>
      <c r="C41" s="13"/>
      <c r="E41" s="13"/>
      <c r="F41" s="13"/>
    </row>
    <row r="42" ht="15.75" customHeight="1">
      <c r="B42" s="13"/>
      <c r="C42" s="13"/>
      <c r="E42" s="13"/>
      <c r="F42" s="13"/>
    </row>
    <row r="43" ht="15.75" customHeight="1">
      <c r="B43" s="13"/>
      <c r="C43" s="13"/>
      <c r="E43" s="13"/>
      <c r="F43" s="13"/>
    </row>
    <row r="44" ht="15.75" customHeight="1">
      <c r="B44" s="13"/>
      <c r="C44" s="13"/>
      <c r="E44" s="13"/>
      <c r="F44" s="13"/>
    </row>
    <row r="45" ht="15.75" customHeight="1">
      <c r="B45" s="13"/>
      <c r="C45" s="13"/>
      <c r="E45" s="13"/>
      <c r="F45" s="13"/>
    </row>
    <row r="46" ht="15.75" customHeight="1">
      <c r="B46" s="13"/>
      <c r="C46" s="13"/>
      <c r="E46" s="13"/>
      <c r="F46" s="13"/>
    </row>
    <row r="47" ht="15.75" customHeight="1">
      <c r="B47" s="13"/>
      <c r="C47" s="13"/>
      <c r="E47" s="13"/>
      <c r="F47" s="13"/>
    </row>
    <row r="48" ht="15.75" customHeight="1">
      <c r="B48" s="13"/>
      <c r="C48" s="13"/>
      <c r="E48" s="13"/>
      <c r="F48" s="13"/>
    </row>
    <row r="49" ht="15.75" customHeight="1">
      <c r="B49" s="13"/>
      <c r="C49" s="13"/>
      <c r="E49" s="13"/>
      <c r="F49" s="13"/>
    </row>
    <row r="50" ht="15.75" customHeight="1">
      <c r="B50" s="13"/>
      <c r="C50" s="13"/>
      <c r="E50" s="13"/>
      <c r="F50" s="13"/>
    </row>
    <row r="51" ht="15.75" customHeight="1">
      <c r="B51" s="13"/>
      <c r="C51" s="13"/>
      <c r="E51" s="13"/>
      <c r="F51" s="13"/>
    </row>
    <row r="52" ht="15.75" customHeight="1">
      <c r="B52" s="13"/>
      <c r="C52" s="13"/>
      <c r="E52" s="13"/>
      <c r="F52" s="13"/>
    </row>
    <row r="53" ht="15.75" customHeight="1">
      <c r="B53" s="13"/>
      <c r="C53" s="13"/>
      <c r="E53" s="13"/>
      <c r="F53" s="13"/>
    </row>
    <row r="54" ht="15.75" customHeight="1">
      <c r="B54" s="13"/>
      <c r="C54" s="13"/>
      <c r="E54" s="13"/>
      <c r="F54" s="13"/>
    </row>
    <row r="55" ht="15.75" customHeight="1">
      <c r="B55" s="13"/>
      <c r="C55" s="13"/>
      <c r="E55" s="13"/>
      <c r="F55" s="13"/>
    </row>
    <row r="56" ht="15.75" customHeight="1">
      <c r="B56" s="13"/>
      <c r="C56" s="13"/>
      <c r="E56" s="13"/>
      <c r="F56" s="13"/>
    </row>
    <row r="57" ht="15.75" customHeight="1">
      <c r="B57" s="13"/>
      <c r="C57" s="13"/>
      <c r="E57" s="13"/>
      <c r="F57" s="13"/>
    </row>
    <row r="58" ht="15.75" customHeight="1">
      <c r="B58" s="13"/>
      <c r="C58" s="13"/>
      <c r="E58" s="13"/>
      <c r="F58" s="13"/>
    </row>
    <row r="59" ht="15.75" customHeight="1">
      <c r="B59" s="13"/>
      <c r="C59" s="13"/>
      <c r="E59" s="13"/>
      <c r="F59" s="13"/>
    </row>
    <row r="60" ht="15.75" customHeight="1">
      <c r="B60" s="13"/>
      <c r="C60" s="13"/>
      <c r="E60" s="13"/>
      <c r="F60" s="13"/>
    </row>
    <row r="61" ht="15.75" customHeight="1">
      <c r="B61" s="13"/>
      <c r="C61" s="13"/>
      <c r="E61" s="13"/>
      <c r="F61" s="13"/>
    </row>
    <row r="62" ht="15.75" customHeight="1">
      <c r="B62" s="13"/>
      <c r="C62" s="13"/>
      <c r="E62" s="13"/>
      <c r="F62" s="13"/>
    </row>
    <row r="63" ht="15.75" customHeight="1">
      <c r="B63" s="13"/>
      <c r="C63" s="13"/>
      <c r="E63" s="13"/>
      <c r="F63" s="13"/>
    </row>
    <row r="64" ht="15.75" customHeight="1">
      <c r="B64" s="13"/>
      <c r="C64" s="13"/>
      <c r="E64" s="13"/>
      <c r="F64" s="13"/>
    </row>
    <row r="65" ht="15.75" customHeight="1">
      <c r="B65" s="13"/>
      <c r="C65" s="13"/>
      <c r="E65" s="13"/>
      <c r="F65" s="13"/>
    </row>
    <row r="66" ht="15.75" customHeight="1">
      <c r="B66" s="13"/>
      <c r="C66" s="13"/>
      <c r="E66" s="13"/>
      <c r="F66" s="13"/>
    </row>
    <row r="67" ht="15.75" customHeight="1">
      <c r="B67" s="13"/>
      <c r="C67" s="13"/>
      <c r="E67" s="13"/>
      <c r="F67" s="13"/>
    </row>
    <row r="68" ht="15.75" customHeight="1">
      <c r="B68" s="13"/>
      <c r="C68" s="13"/>
      <c r="E68" s="13"/>
      <c r="F68" s="13"/>
    </row>
    <row r="69" ht="15.75" customHeight="1">
      <c r="B69" s="13"/>
      <c r="C69" s="13"/>
      <c r="E69" s="13"/>
      <c r="F69" s="13"/>
    </row>
    <row r="70" ht="15.75" customHeight="1">
      <c r="B70" s="13"/>
      <c r="C70" s="13"/>
      <c r="E70" s="13"/>
      <c r="F70" s="13"/>
    </row>
    <row r="71" ht="15.75" customHeight="1">
      <c r="B71" s="13"/>
      <c r="C71" s="13"/>
      <c r="E71" s="13"/>
      <c r="F71" s="13"/>
    </row>
    <row r="72" ht="15.75" customHeight="1">
      <c r="B72" s="13"/>
      <c r="C72" s="13"/>
      <c r="E72" s="13"/>
      <c r="F72" s="13"/>
    </row>
    <row r="73" ht="15.75" customHeight="1">
      <c r="B73" s="13"/>
      <c r="C73" s="13"/>
      <c r="E73" s="13"/>
      <c r="F73" s="13"/>
    </row>
    <row r="74" ht="15.75" customHeight="1">
      <c r="B74" s="13"/>
      <c r="C74" s="13"/>
      <c r="E74" s="13"/>
      <c r="F74" s="13"/>
    </row>
    <row r="75" ht="15.75" customHeight="1">
      <c r="B75" s="13"/>
      <c r="C75" s="13"/>
      <c r="E75" s="13"/>
      <c r="F75" s="13"/>
    </row>
    <row r="76" ht="15.75" customHeight="1">
      <c r="B76" s="13"/>
      <c r="C76" s="13"/>
      <c r="E76" s="13"/>
      <c r="F76" s="13"/>
    </row>
    <row r="77" ht="15.75" customHeight="1">
      <c r="B77" s="13"/>
      <c r="C77" s="13"/>
      <c r="E77" s="13"/>
      <c r="F77" s="13"/>
    </row>
    <row r="78" ht="15.75" customHeight="1">
      <c r="B78" s="13"/>
      <c r="C78" s="13"/>
      <c r="E78" s="13"/>
      <c r="F78" s="13"/>
    </row>
    <row r="79" ht="15.75" customHeight="1">
      <c r="B79" s="13"/>
      <c r="C79" s="13"/>
      <c r="E79" s="13"/>
      <c r="F79" s="13"/>
    </row>
    <row r="80" ht="15.75" customHeight="1">
      <c r="B80" s="13"/>
      <c r="C80" s="13"/>
      <c r="E80" s="13"/>
      <c r="F80" s="13"/>
    </row>
    <row r="81" ht="15.75" customHeight="1">
      <c r="B81" s="13"/>
      <c r="C81" s="13"/>
      <c r="E81" s="13"/>
      <c r="F81" s="13"/>
    </row>
    <row r="82" ht="15.75" customHeight="1">
      <c r="B82" s="13"/>
      <c r="C82" s="13"/>
      <c r="E82" s="13"/>
      <c r="F82" s="13"/>
    </row>
    <row r="83" ht="15.75" customHeight="1">
      <c r="B83" s="13"/>
      <c r="C83" s="13"/>
      <c r="E83" s="13"/>
      <c r="F83" s="13"/>
    </row>
    <row r="84" ht="15.75" customHeight="1">
      <c r="B84" s="13"/>
      <c r="C84" s="13"/>
      <c r="E84" s="13"/>
      <c r="F84" s="13"/>
    </row>
    <row r="85" ht="15.75" customHeight="1">
      <c r="B85" s="13"/>
      <c r="C85" s="13"/>
      <c r="E85" s="13"/>
      <c r="F85" s="13"/>
    </row>
    <row r="86" ht="15.75" customHeight="1">
      <c r="B86" s="13"/>
      <c r="C86" s="13"/>
      <c r="E86" s="13"/>
      <c r="F86" s="13"/>
    </row>
    <row r="87" ht="15.75" customHeight="1">
      <c r="B87" s="13"/>
      <c r="C87" s="13"/>
      <c r="E87" s="13"/>
      <c r="F87" s="13"/>
    </row>
    <row r="88" ht="15.75" customHeight="1">
      <c r="B88" s="13"/>
      <c r="C88" s="13"/>
      <c r="E88" s="13"/>
      <c r="F88" s="13"/>
    </row>
    <row r="89" ht="15.75" customHeight="1">
      <c r="B89" s="13"/>
      <c r="C89" s="13"/>
      <c r="E89" s="13"/>
      <c r="F89" s="13"/>
    </row>
    <row r="90" ht="15.75" customHeight="1">
      <c r="B90" s="13"/>
      <c r="C90" s="13"/>
      <c r="E90" s="13"/>
      <c r="F90" s="13"/>
    </row>
    <row r="91" ht="15.75" customHeight="1">
      <c r="B91" s="13"/>
      <c r="C91" s="13"/>
      <c r="E91" s="13"/>
      <c r="F91" s="13"/>
    </row>
    <row r="92" ht="15.75" customHeight="1">
      <c r="B92" s="13"/>
      <c r="C92" s="13"/>
      <c r="E92" s="13"/>
      <c r="F92" s="13"/>
    </row>
    <row r="93" ht="15.75" customHeight="1">
      <c r="B93" s="13"/>
      <c r="C93" s="13"/>
      <c r="E93" s="13"/>
      <c r="F93" s="13"/>
    </row>
    <row r="94" ht="15.75" customHeight="1">
      <c r="B94" s="13"/>
      <c r="C94" s="13"/>
      <c r="E94" s="13"/>
      <c r="F94" s="13"/>
    </row>
    <row r="95" ht="15.75" customHeight="1">
      <c r="B95" s="13"/>
      <c r="C95" s="13"/>
      <c r="E95" s="13"/>
      <c r="F95" s="13"/>
    </row>
    <row r="96" ht="15.75" customHeight="1">
      <c r="B96" s="13"/>
      <c r="C96" s="13"/>
      <c r="E96" s="13"/>
      <c r="F96" s="13"/>
    </row>
    <row r="97" ht="15.75" customHeight="1">
      <c r="B97" s="13"/>
      <c r="C97" s="13"/>
      <c r="E97" s="13"/>
      <c r="F97" s="13"/>
    </row>
    <row r="98" ht="15.75" customHeight="1">
      <c r="B98" s="13"/>
      <c r="C98" s="13"/>
      <c r="E98" s="13"/>
      <c r="F98" s="13"/>
    </row>
    <row r="99" ht="15.75" customHeight="1">
      <c r="B99" s="13"/>
      <c r="C99" s="13"/>
      <c r="E99" s="13"/>
      <c r="F99" s="13"/>
    </row>
    <row r="100" ht="15.75" customHeight="1">
      <c r="B100" s="13"/>
      <c r="C100" s="13"/>
      <c r="E100" s="13"/>
      <c r="F100" s="13"/>
    </row>
    <row r="101" ht="15.75" customHeight="1">
      <c r="B101" s="13"/>
      <c r="C101" s="13"/>
      <c r="E101" s="13"/>
      <c r="F101" s="13"/>
    </row>
    <row r="102" ht="15.75" customHeight="1">
      <c r="B102" s="13"/>
      <c r="C102" s="13"/>
      <c r="E102" s="13"/>
      <c r="F102" s="13"/>
    </row>
    <row r="103" ht="15.75" customHeight="1">
      <c r="B103" s="13"/>
      <c r="C103" s="13"/>
      <c r="E103" s="13"/>
      <c r="F103" s="13"/>
    </row>
    <row r="104" ht="15.75" customHeight="1">
      <c r="B104" s="13"/>
      <c r="C104" s="13"/>
      <c r="E104" s="13"/>
      <c r="F104" s="13"/>
    </row>
    <row r="105" ht="15.75" customHeight="1">
      <c r="B105" s="13"/>
      <c r="C105" s="13"/>
      <c r="E105" s="13"/>
      <c r="F105" s="13"/>
    </row>
    <row r="106" ht="15.75" customHeight="1">
      <c r="B106" s="13"/>
      <c r="C106" s="13"/>
      <c r="E106" s="13"/>
      <c r="F106" s="13"/>
    </row>
    <row r="107" ht="15.75" customHeight="1">
      <c r="B107" s="13"/>
      <c r="C107" s="13"/>
      <c r="E107" s="13"/>
      <c r="F107" s="13"/>
    </row>
    <row r="108" ht="15.75" customHeight="1">
      <c r="B108" s="13"/>
      <c r="C108" s="13"/>
      <c r="E108" s="13"/>
      <c r="F108" s="13"/>
    </row>
    <row r="109" ht="15.75" customHeight="1">
      <c r="B109" s="13"/>
      <c r="C109" s="13"/>
      <c r="E109" s="13"/>
      <c r="F109" s="13"/>
    </row>
    <row r="110" ht="15.75" customHeight="1">
      <c r="B110" s="13"/>
      <c r="C110" s="13"/>
      <c r="E110" s="13"/>
      <c r="F110" s="13"/>
    </row>
    <row r="111" ht="15.75" customHeight="1">
      <c r="B111" s="13"/>
      <c r="C111" s="13"/>
      <c r="E111" s="13"/>
      <c r="F111" s="13"/>
    </row>
    <row r="112" ht="15.75" customHeight="1">
      <c r="B112" s="13"/>
      <c r="C112" s="13"/>
      <c r="E112" s="13"/>
      <c r="F112" s="13"/>
    </row>
    <row r="113" ht="15.75" customHeight="1">
      <c r="B113" s="13"/>
      <c r="C113" s="13"/>
      <c r="E113" s="13"/>
      <c r="F113" s="13"/>
    </row>
    <row r="114" ht="15.75" customHeight="1">
      <c r="B114" s="13"/>
      <c r="C114" s="13"/>
      <c r="E114" s="13"/>
      <c r="F114" s="13"/>
    </row>
    <row r="115" ht="15.75" customHeight="1">
      <c r="B115" s="13"/>
      <c r="C115" s="13"/>
      <c r="E115" s="13"/>
      <c r="F115" s="13"/>
    </row>
    <row r="116" ht="15.75" customHeight="1">
      <c r="B116" s="13"/>
      <c r="C116" s="13"/>
      <c r="E116" s="13"/>
      <c r="F116" s="13"/>
    </row>
    <row r="117" ht="15.75" customHeight="1">
      <c r="B117" s="13"/>
      <c r="C117" s="13"/>
      <c r="E117" s="13"/>
      <c r="F117" s="13"/>
    </row>
    <row r="118" ht="15.75" customHeight="1">
      <c r="B118" s="13"/>
      <c r="C118" s="13"/>
      <c r="E118" s="13"/>
      <c r="F118" s="13"/>
    </row>
    <row r="119" ht="15.75" customHeight="1">
      <c r="B119" s="13"/>
      <c r="C119" s="13"/>
      <c r="E119" s="13"/>
      <c r="F119" s="13"/>
    </row>
    <row r="120" ht="15.75" customHeight="1">
      <c r="B120" s="13"/>
      <c r="C120" s="13"/>
      <c r="E120" s="13"/>
      <c r="F120" s="13"/>
    </row>
    <row r="121" ht="15.75" customHeight="1">
      <c r="B121" s="13"/>
      <c r="C121" s="13"/>
      <c r="E121" s="13"/>
      <c r="F121" s="13"/>
    </row>
    <row r="122" ht="15.75" customHeight="1">
      <c r="B122" s="13"/>
      <c r="C122" s="13"/>
      <c r="E122" s="13"/>
      <c r="F122" s="13"/>
    </row>
    <row r="123" ht="15.75" customHeight="1">
      <c r="B123" s="13"/>
      <c r="C123" s="13"/>
      <c r="E123" s="13"/>
      <c r="F123" s="13"/>
    </row>
    <row r="124" ht="15.75" customHeight="1">
      <c r="B124" s="13"/>
      <c r="C124" s="13"/>
      <c r="E124" s="13"/>
      <c r="F124" s="13"/>
    </row>
    <row r="125" ht="15.75" customHeight="1">
      <c r="B125" s="13"/>
      <c r="C125" s="13"/>
      <c r="E125" s="13"/>
      <c r="F125" s="13"/>
    </row>
    <row r="126" ht="15.75" customHeight="1">
      <c r="B126" s="13"/>
      <c r="C126" s="13"/>
      <c r="E126" s="13"/>
      <c r="F126" s="13"/>
    </row>
    <row r="127" ht="15.75" customHeight="1">
      <c r="B127" s="13"/>
      <c r="C127" s="13"/>
      <c r="E127" s="13"/>
      <c r="F127" s="13"/>
    </row>
    <row r="128" ht="15.75" customHeight="1">
      <c r="B128" s="13"/>
      <c r="C128" s="13"/>
      <c r="E128" s="13"/>
      <c r="F128" s="13"/>
    </row>
    <row r="129" ht="15.75" customHeight="1">
      <c r="B129" s="13"/>
      <c r="C129" s="13"/>
      <c r="E129" s="13"/>
      <c r="F129" s="13"/>
    </row>
    <row r="130" ht="15.75" customHeight="1">
      <c r="B130" s="13"/>
      <c r="C130" s="13"/>
      <c r="E130" s="13"/>
      <c r="F130" s="13"/>
    </row>
    <row r="131" ht="15.75" customHeight="1">
      <c r="B131" s="13"/>
      <c r="C131" s="13"/>
      <c r="E131" s="13"/>
      <c r="F131" s="13"/>
    </row>
    <row r="132" ht="15.75" customHeight="1">
      <c r="B132" s="13"/>
      <c r="C132" s="13"/>
      <c r="E132" s="13"/>
      <c r="F132" s="13"/>
    </row>
    <row r="133" ht="15.75" customHeight="1">
      <c r="B133" s="13"/>
      <c r="C133" s="13"/>
      <c r="E133" s="13"/>
      <c r="F133" s="13"/>
    </row>
    <row r="134" ht="15.75" customHeight="1">
      <c r="B134" s="13"/>
      <c r="C134" s="13"/>
      <c r="E134" s="13"/>
      <c r="F134" s="13"/>
    </row>
    <row r="135" ht="15.75" customHeight="1">
      <c r="B135" s="13"/>
      <c r="C135" s="13"/>
      <c r="E135" s="13"/>
      <c r="F135" s="13"/>
    </row>
    <row r="136" ht="15.75" customHeight="1">
      <c r="B136" s="13"/>
      <c r="C136" s="13"/>
      <c r="E136" s="13"/>
      <c r="F136" s="13"/>
    </row>
    <row r="137" ht="15.75" customHeight="1">
      <c r="B137" s="13"/>
      <c r="C137" s="13"/>
      <c r="E137" s="13"/>
      <c r="F137" s="13"/>
    </row>
    <row r="138" ht="15.75" customHeight="1">
      <c r="B138" s="13"/>
      <c r="C138" s="13"/>
      <c r="E138" s="13"/>
      <c r="F138" s="13"/>
    </row>
    <row r="139" ht="15.75" customHeight="1">
      <c r="B139" s="13"/>
      <c r="C139" s="13"/>
      <c r="E139" s="13"/>
      <c r="F139" s="13"/>
    </row>
    <row r="140" ht="15.75" customHeight="1">
      <c r="B140" s="13"/>
      <c r="C140" s="13"/>
      <c r="E140" s="13"/>
      <c r="F140" s="13"/>
    </row>
    <row r="141" ht="15.75" customHeight="1">
      <c r="B141" s="13"/>
      <c r="C141" s="13"/>
      <c r="E141" s="13"/>
      <c r="F141" s="13"/>
    </row>
    <row r="142" ht="15.75" customHeight="1">
      <c r="B142" s="13"/>
      <c r="C142" s="13"/>
      <c r="E142" s="13"/>
      <c r="F142" s="13"/>
    </row>
    <row r="143" ht="15.75" customHeight="1">
      <c r="B143" s="13"/>
      <c r="C143" s="13"/>
      <c r="E143" s="13"/>
      <c r="F143" s="13"/>
    </row>
    <row r="144" ht="15.75" customHeight="1">
      <c r="B144" s="13"/>
      <c r="C144" s="13"/>
      <c r="E144" s="13"/>
      <c r="F144" s="13"/>
    </row>
    <row r="145" ht="15.75" customHeight="1">
      <c r="B145" s="13"/>
      <c r="C145" s="13"/>
      <c r="E145" s="13"/>
      <c r="F145" s="13"/>
    </row>
    <row r="146" ht="15.75" customHeight="1">
      <c r="B146" s="13"/>
      <c r="C146" s="13"/>
      <c r="E146" s="13"/>
      <c r="F146" s="13"/>
    </row>
    <row r="147" ht="15.75" customHeight="1">
      <c r="B147" s="13"/>
      <c r="C147" s="13"/>
      <c r="E147" s="13"/>
      <c r="F147" s="13"/>
    </row>
    <row r="148" ht="15.75" customHeight="1">
      <c r="B148" s="13"/>
      <c r="C148" s="13"/>
      <c r="E148" s="13"/>
      <c r="F148" s="13"/>
    </row>
    <row r="149" ht="15.75" customHeight="1">
      <c r="B149" s="13"/>
      <c r="C149" s="13"/>
      <c r="E149" s="13"/>
      <c r="F149" s="13"/>
    </row>
    <row r="150" ht="15.75" customHeight="1">
      <c r="B150" s="13"/>
      <c r="C150" s="13"/>
      <c r="E150" s="13"/>
      <c r="F150" s="13"/>
    </row>
    <row r="151" ht="15.75" customHeight="1">
      <c r="B151" s="13"/>
      <c r="C151" s="13"/>
      <c r="E151" s="13"/>
      <c r="F151" s="13"/>
    </row>
    <row r="152" ht="15.75" customHeight="1">
      <c r="B152" s="13"/>
      <c r="C152" s="13"/>
      <c r="E152" s="13"/>
      <c r="F152" s="13"/>
    </row>
    <row r="153" ht="15.75" customHeight="1">
      <c r="B153" s="13"/>
      <c r="C153" s="13"/>
      <c r="E153" s="13"/>
      <c r="F153" s="13"/>
    </row>
    <row r="154" ht="15.75" customHeight="1">
      <c r="B154" s="13"/>
      <c r="C154" s="13"/>
      <c r="E154" s="13"/>
      <c r="F154" s="13"/>
    </row>
    <row r="155" ht="15.75" customHeight="1">
      <c r="B155" s="13"/>
      <c r="C155" s="13"/>
      <c r="E155" s="13"/>
      <c r="F155" s="13"/>
    </row>
    <row r="156" ht="15.75" customHeight="1">
      <c r="B156" s="13"/>
      <c r="C156" s="13"/>
      <c r="E156" s="13"/>
      <c r="F156" s="13"/>
    </row>
    <row r="157" ht="15.75" customHeight="1">
      <c r="B157" s="13"/>
      <c r="C157" s="13"/>
      <c r="E157" s="13"/>
      <c r="F157" s="13"/>
    </row>
    <row r="158" ht="15.75" customHeight="1">
      <c r="B158" s="13"/>
      <c r="C158" s="13"/>
      <c r="E158" s="13"/>
      <c r="F158" s="13"/>
    </row>
    <row r="159" ht="15.75" customHeight="1">
      <c r="B159" s="13"/>
      <c r="C159" s="13"/>
      <c r="E159" s="13"/>
      <c r="F159" s="13"/>
    </row>
    <row r="160" ht="15.75" customHeight="1">
      <c r="B160" s="13"/>
      <c r="C160" s="13"/>
      <c r="E160" s="13"/>
      <c r="F160" s="13"/>
    </row>
    <row r="161" ht="15.75" customHeight="1">
      <c r="B161" s="13"/>
      <c r="C161" s="13"/>
      <c r="E161" s="13"/>
      <c r="F161" s="13"/>
    </row>
    <row r="162" ht="15.75" customHeight="1">
      <c r="B162" s="13"/>
      <c r="C162" s="13"/>
      <c r="E162" s="13"/>
      <c r="F162" s="13"/>
    </row>
    <row r="163" ht="15.75" customHeight="1">
      <c r="B163" s="13"/>
      <c r="C163" s="13"/>
      <c r="E163" s="13"/>
      <c r="F163" s="13"/>
    </row>
    <row r="164" ht="15.75" customHeight="1">
      <c r="B164" s="13"/>
      <c r="C164" s="13"/>
      <c r="E164" s="13"/>
      <c r="F164" s="13"/>
    </row>
    <row r="165" ht="15.75" customHeight="1">
      <c r="B165" s="13"/>
      <c r="C165" s="13"/>
      <c r="E165" s="13"/>
      <c r="F165" s="13"/>
    </row>
    <row r="166" ht="15.75" customHeight="1">
      <c r="B166" s="13"/>
      <c r="C166" s="13"/>
      <c r="E166" s="13"/>
      <c r="F166" s="13"/>
    </row>
    <row r="167" ht="15.75" customHeight="1">
      <c r="B167" s="13"/>
      <c r="C167" s="13"/>
      <c r="E167" s="13"/>
      <c r="F167" s="13"/>
    </row>
    <row r="168" ht="15.75" customHeight="1">
      <c r="B168" s="13"/>
      <c r="C168" s="13"/>
      <c r="E168" s="13"/>
      <c r="F168" s="13"/>
    </row>
    <row r="169" ht="15.75" customHeight="1">
      <c r="B169" s="13"/>
      <c r="C169" s="13"/>
      <c r="E169" s="13"/>
      <c r="F169" s="13"/>
    </row>
    <row r="170" ht="15.75" customHeight="1">
      <c r="B170" s="13"/>
      <c r="C170" s="13"/>
      <c r="E170" s="13"/>
      <c r="F170" s="13"/>
    </row>
    <row r="171" ht="15.75" customHeight="1">
      <c r="B171" s="13"/>
      <c r="C171" s="13"/>
      <c r="E171" s="13"/>
      <c r="F171" s="13"/>
    </row>
    <row r="172" ht="15.75" customHeight="1">
      <c r="B172" s="13"/>
      <c r="C172" s="13"/>
      <c r="E172" s="13"/>
      <c r="F172" s="13"/>
    </row>
    <row r="173" ht="15.75" customHeight="1">
      <c r="B173" s="13"/>
      <c r="C173" s="13"/>
      <c r="E173" s="13"/>
      <c r="F173" s="13"/>
    </row>
    <row r="174" ht="15.75" customHeight="1">
      <c r="B174" s="13"/>
      <c r="C174" s="13"/>
      <c r="E174" s="13"/>
      <c r="F174" s="13"/>
    </row>
    <row r="175" ht="15.75" customHeight="1">
      <c r="B175" s="13"/>
      <c r="C175" s="13"/>
      <c r="E175" s="13"/>
      <c r="F175" s="13"/>
    </row>
    <row r="176" ht="15.75" customHeight="1">
      <c r="B176" s="13"/>
      <c r="C176" s="13"/>
      <c r="E176" s="13"/>
      <c r="F176" s="13"/>
    </row>
    <row r="177" ht="15.75" customHeight="1">
      <c r="B177" s="13"/>
      <c r="C177" s="13"/>
      <c r="E177" s="13"/>
      <c r="F177" s="13"/>
    </row>
    <row r="178" ht="15.75" customHeight="1">
      <c r="B178" s="13"/>
      <c r="C178" s="13"/>
      <c r="E178" s="13"/>
      <c r="F178" s="13"/>
    </row>
    <row r="179" ht="15.75" customHeight="1">
      <c r="B179" s="13"/>
      <c r="C179" s="13"/>
      <c r="E179" s="13"/>
      <c r="F179" s="13"/>
    </row>
    <row r="180" ht="15.75" customHeight="1">
      <c r="B180" s="13"/>
      <c r="C180" s="13"/>
      <c r="E180" s="13"/>
      <c r="F180" s="13"/>
    </row>
    <row r="181" ht="15.75" customHeight="1">
      <c r="B181" s="13"/>
      <c r="C181" s="13"/>
      <c r="E181" s="13"/>
      <c r="F181" s="13"/>
    </row>
    <row r="182" ht="15.75" customHeight="1">
      <c r="B182" s="13"/>
      <c r="C182" s="13"/>
      <c r="E182" s="13"/>
      <c r="F182" s="13"/>
    </row>
    <row r="183" ht="15.75" customHeight="1">
      <c r="B183" s="13"/>
      <c r="C183" s="13"/>
      <c r="E183" s="13"/>
      <c r="F183" s="13"/>
    </row>
    <row r="184" ht="15.75" customHeight="1">
      <c r="B184" s="13"/>
      <c r="C184" s="13"/>
      <c r="E184" s="13"/>
      <c r="F184" s="13"/>
    </row>
    <row r="185" ht="15.75" customHeight="1">
      <c r="B185" s="13"/>
      <c r="C185" s="13"/>
      <c r="E185" s="13"/>
      <c r="F185" s="13"/>
    </row>
    <row r="186" ht="15.75" customHeight="1">
      <c r="B186" s="13"/>
      <c r="C186" s="13"/>
      <c r="E186" s="13"/>
      <c r="F186" s="13"/>
    </row>
    <row r="187" ht="15.75" customHeight="1">
      <c r="B187" s="13"/>
      <c r="C187" s="13"/>
      <c r="E187" s="13"/>
      <c r="F187" s="13"/>
    </row>
    <row r="188" ht="15.75" customHeight="1">
      <c r="B188" s="13"/>
      <c r="C188" s="13"/>
      <c r="E188" s="13"/>
      <c r="F188" s="13"/>
    </row>
    <row r="189" ht="15.75" customHeight="1">
      <c r="B189" s="13"/>
      <c r="C189" s="13"/>
      <c r="E189" s="13"/>
      <c r="F189" s="13"/>
    </row>
    <row r="190" ht="15.75" customHeight="1">
      <c r="B190" s="13"/>
      <c r="C190" s="13"/>
      <c r="E190" s="13"/>
      <c r="F190" s="13"/>
    </row>
    <row r="191" ht="15.75" customHeight="1">
      <c r="B191" s="13"/>
      <c r="C191" s="13"/>
      <c r="E191" s="13"/>
      <c r="F191" s="13"/>
    </row>
    <row r="192" ht="15.75" customHeight="1">
      <c r="B192" s="13"/>
      <c r="C192" s="13"/>
      <c r="E192" s="13"/>
      <c r="F192" s="13"/>
    </row>
    <row r="193" ht="15.75" customHeight="1">
      <c r="B193" s="13"/>
      <c r="C193" s="13"/>
      <c r="E193" s="13"/>
      <c r="F193" s="13"/>
    </row>
    <row r="194" ht="15.75" customHeight="1">
      <c r="B194" s="13"/>
      <c r="C194" s="13"/>
      <c r="E194" s="13"/>
      <c r="F194" s="13"/>
    </row>
    <row r="195" ht="15.75" customHeight="1">
      <c r="B195" s="13"/>
      <c r="C195" s="13"/>
      <c r="E195" s="13"/>
      <c r="F195" s="13"/>
    </row>
    <row r="196" ht="15.75" customHeight="1">
      <c r="B196" s="13"/>
      <c r="C196" s="13"/>
      <c r="E196" s="13"/>
      <c r="F196" s="13"/>
    </row>
    <row r="197" ht="15.75" customHeight="1">
      <c r="B197" s="13"/>
      <c r="C197" s="13"/>
      <c r="E197" s="13"/>
      <c r="F197" s="13"/>
    </row>
    <row r="198" ht="15.75" customHeight="1">
      <c r="B198" s="13"/>
      <c r="C198" s="13"/>
      <c r="E198" s="13"/>
      <c r="F198" s="13"/>
    </row>
    <row r="199" ht="15.75" customHeight="1">
      <c r="B199" s="13"/>
      <c r="C199" s="13"/>
      <c r="E199" s="13"/>
      <c r="F199" s="13"/>
    </row>
    <row r="200" ht="15.75" customHeight="1">
      <c r="B200" s="13"/>
      <c r="C200" s="13"/>
      <c r="E200" s="13"/>
      <c r="F200" s="13"/>
    </row>
    <row r="201" ht="15.75" customHeight="1">
      <c r="B201" s="13"/>
      <c r="C201" s="13"/>
      <c r="E201" s="13"/>
      <c r="F201" s="13"/>
    </row>
    <row r="202" ht="15.75" customHeight="1">
      <c r="B202" s="13"/>
      <c r="C202" s="13"/>
      <c r="E202" s="13"/>
      <c r="F202" s="13"/>
    </row>
    <row r="203" ht="15.75" customHeight="1">
      <c r="B203" s="13"/>
      <c r="C203" s="13"/>
      <c r="E203" s="13"/>
      <c r="F203" s="13"/>
    </row>
    <row r="204" ht="15.75" customHeight="1">
      <c r="B204" s="13"/>
      <c r="C204" s="13"/>
      <c r="E204" s="13"/>
      <c r="F204" s="13"/>
    </row>
    <row r="205" ht="15.75" customHeight="1">
      <c r="B205" s="13"/>
      <c r="C205" s="13"/>
      <c r="E205" s="13"/>
      <c r="F205" s="13"/>
    </row>
    <row r="206" ht="15.75" customHeight="1">
      <c r="B206" s="13"/>
      <c r="C206" s="13"/>
      <c r="E206" s="13"/>
      <c r="F206" s="13"/>
    </row>
    <row r="207" ht="15.75" customHeight="1">
      <c r="B207" s="13"/>
      <c r="C207" s="13"/>
      <c r="E207" s="13"/>
      <c r="F207" s="13"/>
    </row>
    <row r="208" ht="15.75" customHeight="1">
      <c r="B208" s="13"/>
      <c r="C208" s="13"/>
      <c r="E208" s="13"/>
      <c r="F208" s="13"/>
    </row>
    <row r="209" ht="15.75" customHeight="1">
      <c r="B209" s="13"/>
      <c r="C209" s="13"/>
      <c r="E209" s="13"/>
      <c r="F209" s="13"/>
    </row>
    <row r="210" ht="15.75" customHeight="1">
      <c r="B210" s="13"/>
      <c r="C210" s="13"/>
      <c r="E210" s="13"/>
      <c r="F210" s="13"/>
    </row>
    <row r="211" ht="15.75" customHeight="1">
      <c r="B211" s="13"/>
      <c r="C211" s="13"/>
      <c r="E211" s="13"/>
      <c r="F211" s="13"/>
    </row>
    <row r="212" ht="15.75" customHeight="1">
      <c r="B212" s="13"/>
      <c r="C212" s="13"/>
      <c r="E212" s="13"/>
      <c r="F212" s="13"/>
    </row>
    <row r="213" ht="15.75" customHeight="1">
      <c r="B213" s="13"/>
      <c r="C213" s="13"/>
      <c r="E213" s="13"/>
      <c r="F213" s="13"/>
    </row>
    <row r="214" ht="15.75" customHeight="1">
      <c r="B214" s="13"/>
      <c r="C214" s="13"/>
      <c r="E214" s="13"/>
      <c r="F214" s="13"/>
    </row>
    <row r="215" ht="15.75" customHeight="1">
      <c r="B215" s="13"/>
      <c r="C215" s="13"/>
      <c r="E215" s="13"/>
      <c r="F215" s="13"/>
    </row>
    <row r="216" ht="15.75" customHeight="1">
      <c r="B216" s="13"/>
      <c r="C216" s="13"/>
      <c r="E216" s="13"/>
      <c r="F216" s="13"/>
    </row>
    <row r="217" ht="15.75" customHeight="1">
      <c r="B217" s="13"/>
      <c r="C217" s="13"/>
      <c r="E217" s="13"/>
      <c r="F217" s="13"/>
    </row>
    <row r="218" ht="15.75" customHeight="1">
      <c r="B218" s="13"/>
      <c r="C218" s="13"/>
      <c r="E218" s="13"/>
      <c r="F218" s="13"/>
    </row>
    <row r="219" ht="15.75" customHeight="1">
      <c r="B219" s="13"/>
      <c r="C219" s="13"/>
      <c r="E219" s="13"/>
      <c r="F219" s="13"/>
    </row>
    <row r="220" ht="15.75" customHeight="1">
      <c r="B220" s="13"/>
      <c r="C220" s="13"/>
      <c r="E220" s="13"/>
      <c r="F220" s="1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42.0"/>
    <col customWidth="1" min="2" max="2" width="20.0"/>
    <col customWidth="1" min="3" max="6" width="12.63"/>
  </cols>
  <sheetData>
    <row r="1" ht="30.0" customHeight="1">
      <c r="A1" s="35" t="s">
        <v>496</v>
      </c>
      <c r="B1" s="35" t="s">
        <v>497</v>
      </c>
    </row>
    <row r="2" ht="22.5" customHeight="1">
      <c r="A2" s="36" t="s">
        <v>498</v>
      </c>
      <c r="B2" s="37">
        <f>COUNTA(Evidence_Review!A2:A31)</f>
        <v>30</v>
      </c>
    </row>
    <row r="3" ht="22.5" customHeight="1">
      <c r="A3" s="38" t="s">
        <v>499</v>
      </c>
      <c r="B3" s="39">
        <f>COUNTIF(Evidence_Review!D2:D31,"Relevant")</f>
        <v>24</v>
      </c>
    </row>
    <row r="4" ht="22.5" customHeight="1">
      <c r="A4" s="38" t="s">
        <v>500</v>
      </c>
      <c r="B4" s="39">
        <f>COUNTIF(Evidence_Review!F2:F31,"Present")</f>
        <v>11</v>
      </c>
    </row>
    <row r="5" ht="22.5" customHeight="1">
      <c r="A5" s="38" t="s">
        <v>501</v>
      </c>
      <c r="B5" s="39">
        <f>COUNTIF(Evidence_Review!G2:G31,"Present")</f>
        <v>5</v>
      </c>
    </row>
    <row r="6" ht="22.5" customHeight="1">
      <c r="A6" s="38" t="s">
        <v>502</v>
      </c>
      <c r="B6" s="39">
        <f>COUNTIF(Evidence_Review!H2:H31,"Present")</f>
        <v>3</v>
      </c>
    </row>
    <row r="7" ht="22.5" customHeight="1">
      <c r="A7" s="38" t="s">
        <v>503</v>
      </c>
      <c r="B7" s="39">
        <f>COUNTIF(Evidence_Review!L2:L31,"Yes")</f>
        <v>11</v>
      </c>
    </row>
    <row r="8" ht="22.5" customHeight="1">
      <c r="A8" s="38" t="s">
        <v>504</v>
      </c>
      <c r="B8" s="39">
        <f>COUNTA(Second_Pass_Review!A2:A6)</f>
        <v>5</v>
      </c>
    </row>
    <row r="9" ht="22.5" customHeight="1">
      <c r="A9" s="38" t="s">
        <v>505</v>
      </c>
      <c r="B9" s="39">
        <f>COUNTIF(QA_QC!D2:D6,"Yes")</f>
        <v>3</v>
      </c>
    </row>
    <row r="10" ht="22.5" customHeight="1">
      <c r="A10" s="38" t="s">
        <v>506</v>
      </c>
      <c r="B10" s="40">
        <f>IFERROR(B9/B8,0)</f>
        <v>0.6</v>
      </c>
    </row>
    <row r="11" ht="22.5" customHeight="1">
      <c r="A11" s="38" t="s">
        <v>507</v>
      </c>
      <c r="B11" s="39">
        <f>COUNTIF(QA_QC!G2:G6,"Corrected")</f>
        <v>2</v>
      </c>
    </row>
    <row r="12" ht="15.75" customHeight="1">
      <c r="A12" s="38" t="s">
        <v>508</v>
      </c>
      <c r="B12" s="41">
        <f>B2-B16</f>
        <v>29</v>
      </c>
    </row>
    <row r="13" ht="15.75" customHeight="1">
      <c r="A13" s="38" t="s">
        <v>72</v>
      </c>
      <c r="B13" s="41">
        <f>COUNTIF(Evidence_Review!J2:J31,"External Transmission Indicated")</f>
        <v>4</v>
      </c>
    </row>
    <row r="14" ht="15.75" customHeight="1">
      <c r="A14" s="38" t="s">
        <v>509</v>
      </c>
      <c r="B14" s="41">
        <f>COUNTIF(Evidence_Review!O2:O31,"Unknown")</f>
        <v>10</v>
      </c>
    </row>
    <row r="15" ht="15.75" customHeight="1">
      <c r="A15" s="38" t="s">
        <v>510</v>
      </c>
      <c r="B15" s="41">
        <f>COUNTIF(Escalation_Log!E2:E12,"Open")</f>
        <v>11</v>
      </c>
    </row>
    <row r="16" ht="15.75" customHeight="1">
      <c r="A16" s="38" t="s">
        <v>511</v>
      </c>
      <c r="B16" s="41">
        <f>COUNTA(Evidence_Review!P2:P31)</f>
        <v>1</v>
      </c>
    </row>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9.0"/>
    <col customWidth="1" min="2" max="2" width="96.0"/>
    <col customWidth="1" min="3" max="26" width="8.63"/>
  </cols>
  <sheetData>
    <row r="1" ht="31.5" customHeight="1">
      <c r="A1" s="42" t="s">
        <v>512</v>
      </c>
      <c r="B1" s="42"/>
    </row>
    <row r="2" ht="45.0" customHeight="1">
      <c r="A2" s="8" t="s">
        <v>513</v>
      </c>
      <c r="B2" s="43" t="s">
        <v>514</v>
      </c>
    </row>
    <row r="3" ht="45.0" customHeight="1">
      <c r="A3" s="8" t="s">
        <v>515</v>
      </c>
      <c r="B3" s="43" t="s">
        <v>516</v>
      </c>
    </row>
    <row r="4" ht="45.0" customHeight="1">
      <c r="A4" s="8" t="s">
        <v>424</v>
      </c>
      <c r="B4" s="43" t="s">
        <v>517</v>
      </c>
    </row>
    <row r="5" ht="45.0" customHeight="1">
      <c r="A5" s="8" t="s">
        <v>518</v>
      </c>
      <c r="B5" s="43" t="s">
        <v>519</v>
      </c>
    </row>
    <row r="6" ht="45.0" customHeight="1">
      <c r="A6" s="8" t="s">
        <v>520</v>
      </c>
      <c r="B6" s="43" t="s">
        <v>521</v>
      </c>
    </row>
    <row r="7" ht="45.0" customHeight="1">
      <c r="A7" s="8" t="s">
        <v>522</v>
      </c>
      <c r="B7" s="43" t="s">
        <v>523</v>
      </c>
    </row>
    <row r="8" ht="45.0" customHeight="1">
      <c r="A8" s="8" t="s">
        <v>524</v>
      </c>
      <c r="B8" s="43" t="s">
        <v>525</v>
      </c>
    </row>
    <row r="9" ht="45.0" customHeight="1">
      <c r="A9" s="8" t="s">
        <v>526</v>
      </c>
      <c r="B9" s="43" t="s">
        <v>527</v>
      </c>
    </row>
    <row r="10" ht="45.0" customHeight="1">
      <c r="A10" s="8" t="s">
        <v>528</v>
      </c>
      <c r="B10" s="43" t="s">
        <v>529</v>
      </c>
    </row>
    <row r="11" ht="45.0" customHeight="1">
      <c r="A11" s="8" t="s">
        <v>530</v>
      </c>
      <c r="B11" s="43" t="s">
        <v>531</v>
      </c>
    </row>
    <row r="12" ht="45.0" customHeight="1">
      <c r="A12" s="8" t="s">
        <v>532</v>
      </c>
      <c r="B12" s="43" t="s">
        <v>533</v>
      </c>
    </row>
    <row r="13" ht="45.0" customHeight="1">
      <c r="A13" s="8" t="s">
        <v>534</v>
      </c>
      <c r="B13" s="43" t="s">
        <v>535</v>
      </c>
    </row>
    <row r="14" ht="45.0" customHeight="1">
      <c r="A14" s="8" t="s">
        <v>536</v>
      </c>
      <c r="B14" s="43" t="s">
        <v>537</v>
      </c>
    </row>
    <row r="15" ht="45.0" customHeight="1">
      <c r="A15" s="8" t="s">
        <v>538</v>
      </c>
      <c r="B15" s="43" t="s">
        <v>539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